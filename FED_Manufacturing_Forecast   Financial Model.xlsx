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ZY BEST\Downloads\"/>
    </mc:Choice>
  </mc:AlternateContent>
  <xr:revisionPtr revIDLastSave="0" documentId="13_ncr:1_{18E6B441-A337-44CB-9D3B-FE0008517E0F}" xr6:coauthVersionLast="47" xr6:coauthVersionMax="47" xr10:uidLastSave="{00000000-0000-0000-0000-000000000000}"/>
  <bookViews>
    <workbookView xWindow="-104" yWindow="-104" windowWidth="22326" windowHeight="11924" xr2:uid="{9212C616-BF8B-4695-B16C-9428E7B848B3}"/>
  </bookViews>
  <sheets>
    <sheet name="Cover" sheetId="4" r:id="rId1"/>
    <sheet name="Hist" sheetId="2" r:id="rId2"/>
    <sheet name="Summary" sheetId="5" r:id="rId3"/>
    <sheet name="Inp" sheetId="6" r:id="rId4"/>
    <sheet name="Scenarios" sheetId="7" r:id="rId5"/>
    <sheet name="Model" sheetId="8" r:id="rId6"/>
    <sheet name="Template" sheetId="9" state="hidden" r:id="rId7"/>
  </sheets>
  <definedNames>
    <definedName name="BS_Check">Model!$F$108</definedName>
    <definedName name="currency">Inp!$F$26</definedName>
    <definedName name="L_Scenarios">Scenarios!$D$12:$D$14</definedName>
    <definedName name="LiveScenario">Scenarios!$D$11</definedName>
    <definedName name="million">Inp!$F$12</definedName>
    <definedName name="_xlnm.Print_Titles" localSheetId="3">Inp!$1:$8</definedName>
    <definedName name="_xlnm.Print_Titles" localSheetId="5">Model!$1:$7</definedName>
    <definedName name="_xlnm.Print_Titles" localSheetId="4">Scenarios!$1:$7</definedName>
    <definedName name="_xlnm.Print_Titles" localSheetId="2">Summary!$1:$7</definedName>
    <definedName name="_xlnm.Print_Titles" localSheetId="6">Template!$1:$7</definedName>
    <definedName name="S_Circularity">Cover!$D$15</definedName>
    <definedName name="S_Scenarios">Scenarios!$E$12</definedName>
    <definedName name="thousand">Inp!$F$13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4" i="8" l="1"/>
  <c r="N164" i="8" s="1"/>
  <c r="M164" i="8"/>
  <c r="L165" i="8"/>
  <c r="M165" i="8"/>
  <c r="N165" i="8"/>
  <c r="L166" i="8"/>
  <c r="M166" i="8"/>
  <c r="N166" i="8" s="1"/>
  <c r="P166" i="8" s="1"/>
  <c r="O166" i="8"/>
  <c r="L167" i="8"/>
  <c r="M167" i="8" s="1"/>
  <c r="P167" i="8"/>
  <c r="M163" i="8"/>
  <c r="L163" i="8"/>
  <c r="F182" i="8"/>
  <c r="D182" i="8"/>
  <c r="G116" i="2"/>
  <c r="O164" i="8" l="1"/>
  <c r="P164" i="8" s="1"/>
  <c r="O165" i="8"/>
  <c r="P165" i="8" s="1"/>
  <c r="N167" i="8"/>
  <c r="O167" i="8"/>
  <c r="N163" i="8"/>
  <c r="P163" i="8" s="1"/>
  <c r="O163" i="8"/>
  <c r="I22" i="8"/>
  <c r="J22" i="8"/>
  <c r="K22" i="8"/>
  <c r="L19" i="8"/>
  <c r="M19" i="8"/>
  <c r="N19" i="8"/>
  <c r="O19" i="8"/>
  <c r="P19" i="8"/>
  <c r="L82" i="8"/>
  <c r="B2" i="8"/>
  <c r="E98" i="5"/>
  <c r="E97" i="5"/>
  <c r="E96" i="5"/>
  <c r="E95" i="5"/>
  <c r="D97" i="5"/>
  <c r="D98" i="5"/>
  <c r="D96" i="5"/>
  <c r="D95" i="5"/>
  <c r="E90" i="5"/>
  <c r="E85" i="5"/>
  <c r="E81" i="5"/>
  <c r="D11" i="7" a="1"/>
  <c r="D11" i="7" s="1"/>
  <c r="D13" i="4"/>
  <c r="M82" i="8"/>
  <c r="N82" i="8"/>
  <c r="O82" i="8"/>
  <c r="P82" i="8"/>
  <c r="M50" i="8"/>
  <c r="N50" i="8"/>
  <c r="O50" i="8"/>
  <c r="P50" i="8"/>
  <c r="M45" i="8"/>
  <c r="N45" i="8"/>
  <c r="O45" i="8"/>
  <c r="P45" i="8"/>
  <c r="L45" i="8"/>
  <c r="E349" i="8"/>
  <c r="E350" i="8"/>
  <c r="E351" i="8"/>
  <c r="E352" i="8"/>
  <c r="E346" i="8"/>
  <c r="E345" i="8"/>
  <c r="E344" i="8"/>
  <c r="E338" i="8"/>
  <c r="E334" i="8"/>
  <c r="E335" i="8"/>
  <c r="E336" i="8"/>
  <c r="D331" i="8"/>
  <c r="L331" i="8"/>
  <c r="L335" i="8" s="1"/>
  <c r="L58" i="8" s="1"/>
  <c r="L307" i="8" s="1"/>
  <c r="M331" i="8"/>
  <c r="M335" i="8" s="1"/>
  <c r="M58" i="8" s="1"/>
  <c r="M307" i="8" s="1"/>
  <c r="N331" i="8"/>
  <c r="N335" i="8" s="1"/>
  <c r="N58" i="8" s="1"/>
  <c r="N307" i="8" s="1"/>
  <c r="O331" i="8"/>
  <c r="O335" i="8" s="1"/>
  <c r="O58" i="8" s="1"/>
  <c r="O307" i="8" s="1"/>
  <c r="P331" i="8"/>
  <c r="P335" i="8" s="1"/>
  <c r="P58" i="8" s="1"/>
  <c r="P307" i="8" s="1"/>
  <c r="D341" i="8"/>
  <c r="L341" i="8"/>
  <c r="L345" i="8" s="1"/>
  <c r="L59" i="8" s="1"/>
  <c r="L308" i="8" s="1"/>
  <c r="M341" i="8"/>
  <c r="M345" i="8" s="1"/>
  <c r="M59" i="8" s="1"/>
  <c r="M308" i="8" s="1"/>
  <c r="N341" i="8"/>
  <c r="N345" i="8" s="1"/>
  <c r="N59" i="8" s="1"/>
  <c r="N308" i="8" s="1"/>
  <c r="O341" i="8"/>
  <c r="O345" i="8" s="1"/>
  <c r="O59" i="8" s="1"/>
  <c r="O308" i="8" s="1"/>
  <c r="P341" i="8"/>
  <c r="P345" i="8" s="1"/>
  <c r="P59" i="8" s="1"/>
  <c r="P308" i="8" s="1"/>
  <c r="D332" i="8"/>
  <c r="E332" i="8"/>
  <c r="F332" i="8"/>
  <c r="D342" i="8"/>
  <c r="E342" i="8"/>
  <c r="F342" i="8"/>
  <c r="E326" i="8"/>
  <c r="E322" i="8"/>
  <c r="E323" i="8"/>
  <c r="E324" i="8"/>
  <c r="E325" i="8"/>
  <c r="D325" i="8"/>
  <c r="D324" i="8"/>
  <c r="D323" i="8"/>
  <c r="D322" i="8"/>
  <c r="E319" i="8"/>
  <c r="E315" i="8"/>
  <c r="E316" i="8"/>
  <c r="E317" i="8"/>
  <c r="E312" i="8"/>
  <c r="E311" i="8"/>
  <c r="E310" i="8"/>
  <c r="E309" i="8"/>
  <c r="E308" i="8"/>
  <c r="E307" i="8"/>
  <c r="E306" i="8"/>
  <c r="E305" i="8"/>
  <c r="E304" i="8"/>
  <c r="E303" i="8"/>
  <c r="E299" i="8"/>
  <c r="E295" i="8"/>
  <c r="E302" i="8" s="1"/>
  <c r="E296" i="8"/>
  <c r="E297" i="8"/>
  <c r="E131" i="6"/>
  <c r="E125" i="6"/>
  <c r="E126" i="6"/>
  <c r="E127" i="6"/>
  <c r="E128" i="6"/>
  <c r="E129" i="6"/>
  <c r="E130" i="6"/>
  <c r="L50" i="8"/>
  <c r="M79" i="8"/>
  <c r="N79" i="8"/>
  <c r="O79" i="8"/>
  <c r="P79" i="8"/>
  <c r="L79" i="8"/>
  <c r="M95" i="8"/>
  <c r="N95" i="8"/>
  <c r="O95" i="8"/>
  <c r="P95" i="8"/>
  <c r="L95" i="8"/>
  <c r="D274" i="8"/>
  <c r="F274" i="8"/>
  <c r="D275" i="8"/>
  <c r="F275" i="8"/>
  <c r="D276" i="8"/>
  <c r="F276" i="8"/>
  <c r="D277" i="8"/>
  <c r="F277" i="8"/>
  <c r="D278" i="8"/>
  <c r="F278" i="8"/>
  <c r="D279" i="8"/>
  <c r="F279" i="8"/>
  <c r="F273" i="8"/>
  <c r="D273" i="8"/>
  <c r="E269" i="8"/>
  <c r="E267" i="8"/>
  <c r="E264" i="8"/>
  <c r="E265" i="8"/>
  <c r="E266" i="8"/>
  <c r="E261" i="8"/>
  <c r="E252" i="8"/>
  <c r="M252" i="8"/>
  <c r="N252" i="8"/>
  <c r="O252" i="8"/>
  <c r="P252" i="8"/>
  <c r="L252" i="8"/>
  <c r="D252" i="8"/>
  <c r="E259" i="8"/>
  <c r="E258" i="8"/>
  <c r="E257" i="8"/>
  <c r="F253" i="8"/>
  <c r="O253" i="8" s="1"/>
  <c r="D253" i="8"/>
  <c r="E249" i="8"/>
  <c r="E245" i="8"/>
  <c r="E246" i="8"/>
  <c r="E247" i="8"/>
  <c r="E243" i="8"/>
  <c r="M243" i="8"/>
  <c r="N243" i="8"/>
  <c r="O243" i="8"/>
  <c r="P243" i="8"/>
  <c r="L243" i="8"/>
  <c r="D243" i="8"/>
  <c r="F239" i="8"/>
  <c r="F238" i="8"/>
  <c r="F242" i="8"/>
  <c r="E239" i="8"/>
  <c r="E238" i="8"/>
  <c r="E242" i="8"/>
  <c r="D238" i="8"/>
  <c r="D239" i="8"/>
  <c r="D242" i="8"/>
  <c r="E234" i="8"/>
  <c r="E233" i="8"/>
  <c r="M15" i="8"/>
  <c r="N15" i="8"/>
  <c r="O15" i="8"/>
  <c r="P15" i="8"/>
  <c r="L15" i="8"/>
  <c r="E231" i="8"/>
  <c r="E226" i="8"/>
  <c r="E227" i="8"/>
  <c r="E228" i="8"/>
  <c r="E229" i="8"/>
  <c r="E230" i="8"/>
  <c r="E232" i="8"/>
  <c r="M219" i="8"/>
  <c r="N219" i="8"/>
  <c r="O219" i="8"/>
  <c r="P219" i="8"/>
  <c r="M220" i="8"/>
  <c r="N220" i="8"/>
  <c r="O220" i="8"/>
  <c r="P220" i="8"/>
  <c r="M221" i="8"/>
  <c r="N221" i="8"/>
  <c r="O221" i="8"/>
  <c r="P221" i="8"/>
  <c r="M222" i="8"/>
  <c r="N222" i="8"/>
  <c r="O222" i="8"/>
  <c r="P222" i="8"/>
  <c r="M223" i="8"/>
  <c r="N223" i="8"/>
  <c r="O223" i="8"/>
  <c r="P223" i="8"/>
  <c r="L223" i="8"/>
  <c r="L222" i="8"/>
  <c r="L221" i="8"/>
  <c r="L220" i="8"/>
  <c r="L219" i="8"/>
  <c r="E223" i="8"/>
  <c r="E222" i="8"/>
  <c r="E221" i="8"/>
  <c r="E220" i="8"/>
  <c r="E219" i="8"/>
  <c r="E210" i="8"/>
  <c r="E208" i="8"/>
  <c r="E209" i="8"/>
  <c r="E207" i="8"/>
  <c r="E205" i="8"/>
  <c r="M203" i="8"/>
  <c r="N203" i="8"/>
  <c r="O203" i="8"/>
  <c r="P203" i="8"/>
  <c r="E204" i="8"/>
  <c r="E202" i="8"/>
  <c r="L203" i="8"/>
  <c r="E200" i="8"/>
  <c r="F200" i="8"/>
  <c r="D203" i="8"/>
  <c r="D200" i="8"/>
  <c r="E197" i="8"/>
  <c r="E196" i="8"/>
  <c r="E195" i="8"/>
  <c r="E194" i="8"/>
  <c r="E182" i="8"/>
  <c r="E180" i="8"/>
  <c r="F179" i="8"/>
  <c r="E179" i="8"/>
  <c r="D179" i="8"/>
  <c r="E177" i="8"/>
  <c r="E178" i="8"/>
  <c r="M177" i="8"/>
  <c r="M195" i="8" s="1"/>
  <c r="N177" i="8"/>
  <c r="N195" i="8" s="1"/>
  <c r="O177" i="8"/>
  <c r="O195" i="8" s="1"/>
  <c r="P177" i="8"/>
  <c r="P195" i="8" s="1"/>
  <c r="L177" i="8"/>
  <c r="D177" i="8"/>
  <c r="E171" i="8"/>
  <c r="E172" i="8"/>
  <c r="E173" i="8"/>
  <c r="E174" i="8"/>
  <c r="F160" i="8"/>
  <c r="E160" i="8"/>
  <c r="D160" i="8"/>
  <c r="F157" i="8"/>
  <c r="E157" i="8"/>
  <c r="E156" i="8"/>
  <c r="D157" i="8"/>
  <c r="M155" i="8"/>
  <c r="M172" i="8" s="1"/>
  <c r="N155" i="8"/>
  <c r="N172" i="8" s="1"/>
  <c r="N49" i="8" s="1"/>
  <c r="O155" i="8"/>
  <c r="O172" i="8" s="1"/>
  <c r="O49" i="8" s="1"/>
  <c r="P155" i="8"/>
  <c r="P172" i="8" s="1"/>
  <c r="L155" i="8"/>
  <c r="D155" i="8"/>
  <c r="L151" i="8"/>
  <c r="L13" i="8" s="1"/>
  <c r="D151" i="8"/>
  <c r="E146" i="8"/>
  <c r="E147" i="8"/>
  <c r="E143" i="8"/>
  <c r="D138" i="8"/>
  <c r="E137" i="8"/>
  <c r="E142" i="8"/>
  <c r="E141" i="8"/>
  <c r="E136" i="8"/>
  <c r="F135" i="8"/>
  <c r="E135" i="8"/>
  <c r="E134" i="8"/>
  <c r="D135" i="8"/>
  <c r="D136" i="8"/>
  <c r="D134" i="8"/>
  <c r="E128" i="8"/>
  <c r="E129" i="8"/>
  <c r="E130" i="8"/>
  <c r="D128" i="8"/>
  <c r="K124" i="8"/>
  <c r="D124" i="8"/>
  <c r="D129" i="8" s="1"/>
  <c r="E121" i="8"/>
  <c r="E119" i="8"/>
  <c r="E118" i="8"/>
  <c r="E117" i="8"/>
  <c r="M119" i="8"/>
  <c r="N119" i="8"/>
  <c r="O119" i="8"/>
  <c r="P119" i="8"/>
  <c r="L119" i="8"/>
  <c r="D119" i="8"/>
  <c r="D118" i="8"/>
  <c r="K117" i="8"/>
  <c r="D117" i="8"/>
  <c r="D125" i="8"/>
  <c r="D114" i="8"/>
  <c r="D113" i="8"/>
  <c r="E108" i="8"/>
  <c r="J73" i="8"/>
  <c r="K73" i="8"/>
  <c r="J74" i="8"/>
  <c r="K74" i="8"/>
  <c r="J75" i="8"/>
  <c r="K75" i="8"/>
  <c r="J78" i="8"/>
  <c r="K78" i="8"/>
  <c r="J79" i="8"/>
  <c r="K79" i="8"/>
  <c r="J80" i="8"/>
  <c r="K80" i="8"/>
  <c r="J81" i="8"/>
  <c r="K81" i="8"/>
  <c r="J82" i="8"/>
  <c r="K82" i="8"/>
  <c r="J88" i="8"/>
  <c r="K88" i="8"/>
  <c r="J89" i="8"/>
  <c r="K89" i="8"/>
  <c r="J90" i="8"/>
  <c r="K90" i="8"/>
  <c r="J93" i="8"/>
  <c r="K93" i="8"/>
  <c r="J94" i="8"/>
  <c r="K94" i="8"/>
  <c r="J95" i="8"/>
  <c r="K95" i="8"/>
  <c r="J100" i="8"/>
  <c r="K100" i="8"/>
  <c r="K336" i="8" s="1"/>
  <c r="J101" i="8"/>
  <c r="K101" i="8"/>
  <c r="K346" i="8" s="1"/>
  <c r="J102" i="8"/>
  <c r="K102" i="8"/>
  <c r="K352" i="8" s="1"/>
  <c r="L349" i="8" s="1"/>
  <c r="J103" i="8"/>
  <c r="K103" i="8"/>
  <c r="L103" i="8" s="1"/>
  <c r="M103" i="8" s="1"/>
  <c r="N103" i="8" s="1"/>
  <c r="O103" i="8" s="1"/>
  <c r="P103" i="8" s="1"/>
  <c r="D72" i="8"/>
  <c r="I73" i="8"/>
  <c r="I74" i="8"/>
  <c r="I75" i="8"/>
  <c r="I78" i="8"/>
  <c r="I79" i="8"/>
  <c r="I80" i="8"/>
  <c r="I81" i="8"/>
  <c r="I82" i="8"/>
  <c r="I88" i="8"/>
  <c r="I89" i="8"/>
  <c r="I90" i="8"/>
  <c r="I93" i="8"/>
  <c r="I94" i="8"/>
  <c r="I95" i="8"/>
  <c r="I100" i="8"/>
  <c r="I101" i="8"/>
  <c r="I102" i="8"/>
  <c r="I103" i="8"/>
  <c r="C87" i="8"/>
  <c r="D106" i="8"/>
  <c r="D101" i="8"/>
  <c r="D102" i="8"/>
  <c r="D103" i="8"/>
  <c r="D104" i="8"/>
  <c r="D73" i="8"/>
  <c r="D74" i="8"/>
  <c r="D75" i="8"/>
  <c r="D76" i="8"/>
  <c r="D78" i="8"/>
  <c r="D79" i="8"/>
  <c r="D80" i="8"/>
  <c r="D81" i="8"/>
  <c r="D82" i="8"/>
  <c r="D83" i="8"/>
  <c r="D85" i="8"/>
  <c r="D88" i="8"/>
  <c r="D266" i="8" s="1"/>
  <c r="D89" i="8"/>
  <c r="D90" i="8"/>
  <c r="D91" i="8"/>
  <c r="D93" i="8"/>
  <c r="D94" i="8"/>
  <c r="D95" i="8"/>
  <c r="D96" i="8"/>
  <c r="D98" i="8"/>
  <c r="D100" i="8"/>
  <c r="C71" i="8"/>
  <c r="J41" i="8"/>
  <c r="K41" i="8"/>
  <c r="J42" i="8"/>
  <c r="K42" i="8"/>
  <c r="J43" i="8"/>
  <c r="K43" i="8"/>
  <c r="J44" i="8"/>
  <c r="K44" i="8"/>
  <c r="J45" i="8"/>
  <c r="K45" i="8"/>
  <c r="J49" i="8"/>
  <c r="K49" i="8"/>
  <c r="J50" i="8"/>
  <c r="K50" i="8"/>
  <c r="J51" i="8"/>
  <c r="K51" i="8"/>
  <c r="J56" i="8"/>
  <c r="K56" i="8"/>
  <c r="J57" i="8"/>
  <c r="K57" i="8"/>
  <c r="J58" i="8"/>
  <c r="K58" i="8"/>
  <c r="J59" i="8"/>
  <c r="K59" i="8"/>
  <c r="J60" i="8"/>
  <c r="K60" i="8"/>
  <c r="J61" i="8"/>
  <c r="K61" i="8"/>
  <c r="J62" i="8"/>
  <c r="K62" i="8"/>
  <c r="I42" i="8"/>
  <c r="I43" i="8"/>
  <c r="I44" i="8"/>
  <c r="I45" i="8"/>
  <c r="I49" i="8"/>
  <c r="I50" i="8"/>
  <c r="I51" i="8"/>
  <c r="I55" i="8"/>
  <c r="I56" i="8"/>
  <c r="I57" i="8"/>
  <c r="I58" i="8"/>
  <c r="I59" i="8"/>
  <c r="I60" i="8"/>
  <c r="I61" i="8"/>
  <c r="I62" i="8"/>
  <c r="I66" i="8"/>
  <c r="I41" i="8"/>
  <c r="D63" i="8"/>
  <c r="D65" i="8"/>
  <c r="D296" i="8" s="1"/>
  <c r="D66" i="8"/>
  <c r="D295" i="8" s="1"/>
  <c r="D302" i="8" s="1"/>
  <c r="D67" i="8"/>
  <c r="D297" i="8" s="1"/>
  <c r="C54" i="8"/>
  <c r="D55" i="8"/>
  <c r="D56" i="8"/>
  <c r="D305" i="8" s="1"/>
  <c r="D57" i="8"/>
  <c r="D306" i="8" s="1"/>
  <c r="D58" i="8"/>
  <c r="D307" i="8" s="1"/>
  <c r="D59" i="8"/>
  <c r="D308" i="8" s="1"/>
  <c r="D60" i="8"/>
  <c r="D309" i="8" s="1"/>
  <c r="D61" i="8"/>
  <c r="D310" i="8" s="1"/>
  <c r="D62" i="8"/>
  <c r="D311" i="8" s="1"/>
  <c r="C48" i="8"/>
  <c r="D42" i="8"/>
  <c r="D43" i="8"/>
  <c r="D44" i="8"/>
  <c r="D45" i="8"/>
  <c r="D46" i="8"/>
  <c r="D303" i="8" s="1"/>
  <c r="D49" i="8"/>
  <c r="D50" i="8"/>
  <c r="D51" i="8"/>
  <c r="D52" i="8"/>
  <c r="D304" i="8" s="1"/>
  <c r="D41" i="8"/>
  <c r="C40" i="8"/>
  <c r="E11" i="8"/>
  <c r="E214" i="8" s="1"/>
  <c r="E12" i="8"/>
  <c r="E215" i="8" s="1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J11" i="8"/>
  <c r="J81" i="5" s="1"/>
  <c r="K11" i="8"/>
  <c r="K214" i="8" s="1"/>
  <c r="J12" i="8"/>
  <c r="K12" i="8"/>
  <c r="J13" i="8"/>
  <c r="K13" i="8"/>
  <c r="K14" i="8" s="1"/>
  <c r="J15" i="8"/>
  <c r="K15" i="8"/>
  <c r="J17" i="8"/>
  <c r="K17" i="8"/>
  <c r="J19" i="8"/>
  <c r="K19" i="8"/>
  <c r="J20" i="8"/>
  <c r="K20" i="8"/>
  <c r="J23" i="8"/>
  <c r="J24" i="8" s="1"/>
  <c r="K23" i="8"/>
  <c r="J26" i="8"/>
  <c r="K26" i="8"/>
  <c r="D12" i="8"/>
  <c r="D215" i="8" s="1"/>
  <c r="I12" i="8"/>
  <c r="D13" i="8"/>
  <c r="I13" i="8"/>
  <c r="D14" i="8"/>
  <c r="D15" i="8"/>
  <c r="I15" i="8"/>
  <c r="D16" i="8"/>
  <c r="D269" i="8" s="1"/>
  <c r="D17" i="8"/>
  <c r="I17" i="8"/>
  <c r="D18" i="8"/>
  <c r="D19" i="8"/>
  <c r="I19" i="8"/>
  <c r="D20" i="8"/>
  <c r="I20" i="8"/>
  <c r="D21" i="8"/>
  <c r="D22" i="8"/>
  <c r="D23" i="8"/>
  <c r="I23" i="8"/>
  <c r="D24" i="8"/>
  <c r="D25" i="8"/>
  <c r="D26" i="8"/>
  <c r="I26" i="8"/>
  <c r="D27" i="8"/>
  <c r="I11" i="8"/>
  <c r="D11" i="8"/>
  <c r="D214" i="8" s="1"/>
  <c r="K125" i="6"/>
  <c r="K126" i="6"/>
  <c r="K127" i="6"/>
  <c r="K128" i="6"/>
  <c r="K129" i="6"/>
  <c r="K130" i="6"/>
  <c r="D130" i="6"/>
  <c r="D129" i="6"/>
  <c r="D128" i="6"/>
  <c r="D126" i="6"/>
  <c r="D127" i="6"/>
  <c r="D125" i="6"/>
  <c r="E119" i="6"/>
  <c r="E341" i="8" s="1"/>
  <c r="E118" i="6"/>
  <c r="E331" i="8" s="1"/>
  <c r="E114" i="6"/>
  <c r="E115" i="6"/>
  <c r="E94" i="6"/>
  <c r="E203" i="8" s="1"/>
  <c r="E76" i="6"/>
  <c r="E75" i="6"/>
  <c r="E79" i="6"/>
  <c r="E80" i="6"/>
  <c r="E81" i="6"/>
  <c r="E82" i="6"/>
  <c r="E83" i="6"/>
  <c r="J79" i="6"/>
  <c r="K79" i="6"/>
  <c r="J80" i="6"/>
  <c r="K80" i="6"/>
  <c r="J81" i="6"/>
  <c r="K81" i="6"/>
  <c r="J82" i="6"/>
  <c r="K82" i="6"/>
  <c r="J83" i="6"/>
  <c r="K83" i="6"/>
  <c r="I83" i="6"/>
  <c r="I82" i="6"/>
  <c r="I80" i="6"/>
  <c r="I81" i="6"/>
  <c r="I79" i="6"/>
  <c r="D80" i="6"/>
  <c r="D87" i="6" s="1"/>
  <c r="D220" i="8" s="1"/>
  <c r="D227" i="8" s="1"/>
  <c r="D81" i="6"/>
  <c r="D88" i="6" s="1"/>
  <c r="D221" i="8" s="1"/>
  <c r="D228" i="8" s="1"/>
  <c r="D82" i="6"/>
  <c r="D89" i="6" s="1"/>
  <c r="D222" i="8" s="1"/>
  <c r="D230" i="8" s="1"/>
  <c r="D83" i="6"/>
  <c r="D90" i="6" s="1"/>
  <c r="D223" i="8" s="1"/>
  <c r="D79" i="6"/>
  <c r="D86" i="6" s="1"/>
  <c r="D219" i="8" s="1"/>
  <c r="D226" i="8" s="1"/>
  <c r="J76" i="6"/>
  <c r="K76" i="6"/>
  <c r="I76" i="6"/>
  <c r="J75" i="6"/>
  <c r="K75" i="6"/>
  <c r="I75" i="6"/>
  <c r="E72" i="6"/>
  <c r="D72" i="6"/>
  <c r="E62" i="6"/>
  <c r="E54" i="6"/>
  <c r="E155" i="8" s="1"/>
  <c r="P36" i="7" a="1"/>
  <c r="O36" i="7" a="1"/>
  <c r="N36" i="7" a="1"/>
  <c r="M36" i="7" a="1"/>
  <c r="L36" i="7" a="1"/>
  <c r="F46" i="6"/>
  <c r="F134" i="8" s="1"/>
  <c r="P30" i="7" a="1"/>
  <c r="O30" i="7" a="1"/>
  <c r="N30" i="7" a="1"/>
  <c r="M30" i="7" a="1"/>
  <c r="L30" i="7" a="1"/>
  <c r="P24" i="7" a="1"/>
  <c r="O24" i="7" a="1"/>
  <c r="N24" i="7" a="1"/>
  <c r="M24" i="7" a="1"/>
  <c r="L24" i="7" a="1"/>
  <c r="M18" i="7" a="1"/>
  <c r="N18" i="7" a="1"/>
  <c r="O18" i="7" a="1"/>
  <c r="P18" i="7" a="1"/>
  <c r="L18" i="7" a="1"/>
  <c r="E36" i="6"/>
  <c r="E35" i="6"/>
  <c r="E124" i="8" s="1"/>
  <c r="E34" i="6"/>
  <c r="K34" i="6"/>
  <c r="K36" i="6" s="1"/>
  <c r="K37" i="6" s="1"/>
  <c r="K118" i="8" s="1"/>
  <c r="K120" i="8" s="1"/>
  <c r="K138" i="8" s="1"/>
  <c r="K7" i="9"/>
  <c r="L7" i="9" s="1"/>
  <c r="M7" i="9" s="1"/>
  <c r="N7" i="9" s="1"/>
  <c r="O7" i="9" s="1"/>
  <c r="P7" i="9" s="1"/>
  <c r="J7" i="9"/>
  <c r="I7" i="9"/>
  <c r="B2" i="9"/>
  <c r="K7" i="8"/>
  <c r="L7" i="8" s="1"/>
  <c r="L184" i="8" s="1"/>
  <c r="J7" i="8"/>
  <c r="I7" i="8"/>
  <c r="K7" i="7"/>
  <c r="L7" i="7" s="1"/>
  <c r="M7" i="7" s="1"/>
  <c r="N7" i="7" s="1"/>
  <c r="O7" i="7" s="1"/>
  <c r="P7" i="7" s="1"/>
  <c r="J7" i="7"/>
  <c r="I7" i="7"/>
  <c r="B2" i="7"/>
  <c r="K7" i="6"/>
  <c r="J7" i="6"/>
  <c r="J11" i="6" s="1"/>
  <c r="J72" i="6" s="1"/>
  <c r="I7" i="6"/>
  <c r="I11" i="6" s="1"/>
  <c r="I72" i="6" s="1"/>
  <c r="B2" i="6"/>
  <c r="J7" i="5"/>
  <c r="K7" i="5"/>
  <c r="L7" i="5" s="1"/>
  <c r="M7" i="5" s="1"/>
  <c r="N7" i="5" s="1"/>
  <c r="O7" i="5" s="1"/>
  <c r="P7" i="5" s="1"/>
  <c r="I7" i="5"/>
  <c r="B2" i="5"/>
  <c r="D14" i="4"/>
  <c r="C8" i="4"/>
  <c r="C7" i="4"/>
  <c r="G16" i="2"/>
  <c r="G19" i="2" s="1"/>
  <c r="G22" i="2" s="1"/>
  <c r="G26" i="2" s="1"/>
  <c r="H16" i="2"/>
  <c r="H19" i="2" s="1"/>
  <c r="H22" i="2" s="1"/>
  <c r="H26" i="2" s="1"/>
  <c r="I16" i="2"/>
  <c r="I19" i="2" s="1"/>
  <c r="I22" i="2" s="1"/>
  <c r="I26" i="2" s="1"/>
  <c r="G30" i="2"/>
  <c r="H30" i="2"/>
  <c r="I30" i="2"/>
  <c r="G49" i="2"/>
  <c r="H49" i="2"/>
  <c r="I49" i="2"/>
  <c r="G55" i="2"/>
  <c r="H55" i="2"/>
  <c r="I55" i="2"/>
  <c r="H58" i="2"/>
  <c r="I58" i="2"/>
  <c r="G66" i="2"/>
  <c r="G90" i="2"/>
  <c r="H90" i="2"/>
  <c r="I90" i="2"/>
  <c r="G99" i="2"/>
  <c r="H99" i="2"/>
  <c r="I99" i="2"/>
  <c r="G104" i="2"/>
  <c r="H104" i="2"/>
  <c r="I104" i="2"/>
  <c r="G112" i="2"/>
  <c r="H112" i="2"/>
  <c r="I112" i="2"/>
  <c r="L81" i="6"/>
  <c r="Q269" i="8"/>
  <c r="Q114" i="8"/>
  <c r="D289" i="8"/>
  <c r="Q67" i="8"/>
  <c r="Q258" i="8"/>
  <c r="Q336" i="8"/>
  <c r="Q11" i="8"/>
  <c r="D287" i="8"/>
  <c r="Q94" i="8"/>
  <c r="Q326" i="8"/>
  <c r="Q312" i="8"/>
  <c r="Q341" i="8"/>
  <c r="Q18" i="8"/>
  <c r="L82" i="6"/>
  <c r="Q195" i="8"/>
  <c r="Q204" i="8"/>
  <c r="Q50" i="8"/>
  <c r="Q202" i="8"/>
  <c r="Q46" i="8"/>
  <c r="Q155" i="8"/>
  <c r="Q85" i="8"/>
  <c r="Q104" i="8"/>
  <c r="Q101" i="8"/>
  <c r="D163" i="8"/>
  <c r="Q129" i="8"/>
  <c r="Q169" i="8"/>
  <c r="Q310" i="8"/>
  <c r="Q194" i="8"/>
  <c r="Q93" i="8"/>
  <c r="Q45" i="8"/>
  <c r="Q172" i="8"/>
  <c r="Q98" i="8"/>
  <c r="Q63" i="8"/>
  <c r="Q322" i="8"/>
  <c r="I338" i="8"/>
  <c r="Q143" i="8"/>
  <c r="Q226" i="8"/>
  <c r="Q325" i="8"/>
  <c r="Q173" i="8"/>
  <c r="K42" i="6"/>
  <c r="Q308" i="8"/>
  <c r="Q191" i="8"/>
  <c r="Q205" i="8"/>
  <c r="Q228" i="8"/>
  <c r="Q352" i="8"/>
  <c r="Q121" i="8"/>
  <c r="Q334" i="8"/>
  <c r="Q117" i="8"/>
  <c r="Q271" i="8"/>
  <c r="Q265" i="8"/>
  <c r="Q230" i="8"/>
  <c r="Q245" i="8"/>
  <c r="Q13" i="8"/>
  <c r="Q267" i="8"/>
  <c r="Q315" i="8"/>
  <c r="Q100" i="8"/>
  <c r="Q151" i="8"/>
  <c r="Q229" i="8"/>
  <c r="Q14" i="8"/>
  <c r="Q74" i="8"/>
  <c r="Q73" i="8"/>
  <c r="L72" i="6"/>
  <c r="G180" i="8"/>
  <c r="Q89" i="8"/>
  <c r="Q75" i="8"/>
  <c r="Q103" i="8"/>
  <c r="Q264" i="8"/>
  <c r="Q174" i="8"/>
  <c r="Q227" i="8"/>
  <c r="Q80" i="8"/>
  <c r="Q56" i="8"/>
  <c r="Q90" i="8"/>
  <c r="Q29" i="8"/>
  <c r="Q26" i="8"/>
  <c r="Q19" i="8"/>
  <c r="Q128" i="8"/>
  <c r="Q20" i="8"/>
  <c r="Q203" i="8"/>
  <c r="Q72" i="8"/>
  <c r="Q233" i="8"/>
  <c r="Q303" i="8"/>
  <c r="Q344" i="8"/>
  <c r="Q79" i="8"/>
  <c r="D285" i="8"/>
  <c r="Q58" i="8"/>
  <c r="Q177" i="8"/>
  <c r="Q16" i="8"/>
  <c r="Q266" i="8"/>
  <c r="H87" i="6"/>
  <c r="H90" i="6"/>
  <c r="Q41" i="8"/>
  <c r="Q15" i="8"/>
  <c r="Q351" i="8"/>
  <c r="I249" i="8"/>
  <c r="H86" i="6"/>
  <c r="Q65" i="8"/>
  <c r="Q350" i="8"/>
  <c r="Q49" i="8"/>
  <c r="I261" i="8"/>
  <c r="Q113" i="8"/>
  <c r="Q317" i="8"/>
  <c r="Q82" i="8"/>
  <c r="Q208" i="8"/>
  <c r="L83" i="6"/>
  <c r="Q91" i="8"/>
  <c r="Q124" i="8"/>
  <c r="L37" i="6"/>
  <c r="Q83" i="8"/>
  <c r="Q311" i="8"/>
  <c r="Q253" i="8"/>
  <c r="Q141" i="8"/>
  <c r="Q125" i="8"/>
  <c r="Q309" i="8"/>
  <c r="Q42" i="8"/>
  <c r="G158" i="8"/>
  <c r="Q331" i="8"/>
  <c r="Q78" i="8"/>
  <c r="Q302" i="8"/>
  <c r="L75" i="6"/>
  <c r="K48" i="6"/>
  <c r="L80" i="6"/>
  <c r="Q34" i="8"/>
  <c r="Q60" i="8"/>
  <c r="Q307" i="8"/>
  <c r="Q17" i="8"/>
  <c r="Q232" i="8"/>
  <c r="Q57" i="8"/>
  <c r="Q197" i="8"/>
  <c r="L76" i="6"/>
  <c r="Q51" i="8"/>
  <c r="Q297" i="8"/>
  <c r="Q12" i="8"/>
  <c r="Q43" i="8"/>
  <c r="Q62" i="8"/>
  <c r="Q295" i="8"/>
  <c r="Q254" i="8"/>
  <c r="K40" i="6"/>
  <c r="Q346" i="8"/>
  <c r="L34" i="6"/>
  <c r="Q23" i="8"/>
  <c r="Q304" i="8"/>
  <c r="Q246" i="8"/>
  <c r="D185" i="8"/>
  <c r="Q146" i="8"/>
  <c r="K41" i="6"/>
  <c r="L79" i="6"/>
  <c r="Q33" i="8"/>
  <c r="Q324" i="8"/>
  <c r="Q142" i="8"/>
  <c r="Q255" i="8"/>
  <c r="Q108" i="8"/>
  <c r="Q27" i="8"/>
  <c r="Q96" i="8"/>
  <c r="Q209" i="8"/>
  <c r="Q24" i="8"/>
  <c r="Q88" i="8"/>
  <c r="H89" i="6"/>
  <c r="Q305" i="8"/>
  <c r="Q259" i="8"/>
  <c r="Q21" i="8"/>
  <c r="Q59" i="8"/>
  <c r="Q210" i="8"/>
  <c r="Q44" i="8"/>
  <c r="Q207" i="8"/>
  <c r="Q118" i="8"/>
  <c r="Q22" i="8"/>
  <c r="Q61" i="8"/>
  <c r="Q306" i="8"/>
  <c r="Q52" i="8"/>
  <c r="Q335" i="8"/>
  <c r="Q136" i="8"/>
  <c r="H88" i="6"/>
  <c r="Q184" i="8"/>
  <c r="Q138" i="8"/>
  <c r="Q95" i="8"/>
  <c r="Q25" i="8"/>
  <c r="Q296" i="8"/>
  <c r="Q323" i="8"/>
  <c r="Q345" i="8"/>
  <c r="Q171" i="8"/>
  <c r="D281" i="8"/>
  <c r="L36" i="6"/>
  <c r="Q130" i="8"/>
  <c r="Q162" i="8"/>
  <c r="Q257" i="8"/>
  <c r="Q349" i="8"/>
  <c r="Q119" i="8"/>
  <c r="F299" i="8"/>
  <c r="Q31" i="8"/>
  <c r="Q319" i="8"/>
  <c r="Q231" i="8"/>
  <c r="Q102" i="8"/>
  <c r="D283" i="8"/>
  <c r="Q106" i="8"/>
  <c r="Q316" i="8"/>
  <c r="Q120" i="8"/>
  <c r="Q247" i="8"/>
  <c r="Q32" i="8"/>
  <c r="Q234" i="8"/>
  <c r="D291" i="8"/>
  <c r="Q196" i="8"/>
  <c r="Q66" i="8"/>
  <c r="Q76" i="8"/>
  <c r="Q55" i="8"/>
  <c r="Q81" i="8"/>
  <c r="Q147" i="8"/>
  <c r="M49" i="8" l="1"/>
  <c r="I106" i="2"/>
  <c r="I114" i="2" s="1"/>
  <c r="I116" i="2" s="1"/>
  <c r="P51" i="8"/>
  <c r="O51" i="8"/>
  <c r="K24" i="8"/>
  <c r="K83" i="8"/>
  <c r="P49" i="8"/>
  <c r="P52" i="8" s="1"/>
  <c r="P304" i="8" s="1"/>
  <c r="O52" i="8"/>
  <c r="O304" i="8" s="1"/>
  <c r="M51" i="8"/>
  <c r="J52" i="8"/>
  <c r="J83" i="8"/>
  <c r="J46" i="8"/>
  <c r="K46" i="8"/>
  <c r="J14" i="8"/>
  <c r="J16" i="8" s="1"/>
  <c r="J18" i="8" s="1"/>
  <c r="J21" i="8" s="1"/>
  <c r="J25" i="8" s="1"/>
  <c r="I63" i="8"/>
  <c r="I81" i="5"/>
  <c r="J82" i="5" s="1"/>
  <c r="K81" i="5"/>
  <c r="K82" i="5" s="1"/>
  <c r="K104" i="8"/>
  <c r="L4" i="5"/>
  <c r="C78" i="5"/>
  <c r="L4" i="6"/>
  <c r="L4" i="8"/>
  <c r="L4" i="9"/>
  <c r="L4" i="7"/>
  <c r="N51" i="8"/>
  <c r="N52" i="8" s="1"/>
  <c r="N304" i="8" s="1"/>
  <c r="J96" i="8"/>
  <c r="I91" i="8"/>
  <c r="J104" i="8"/>
  <c r="I96" i="8"/>
  <c r="G106" i="2"/>
  <c r="G114" i="2" s="1"/>
  <c r="G32" i="2"/>
  <c r="G35" i="2" s="1"/>
  <c r="I27" i="8" s="1"/>
  <c r="H32" i="2"/>
  <c r="H35" i="2" s="1"/>
  <c r="J27" i="8" s="1"/>
  <c r="I32" i="2"/>
  <c r="I35" i="2" s="1"/>
  <c r="K27" i="8" s="1"/>
  <c r="K91" i="8"/>
  <c r="H106" i="2"/>
  <c r="H114" i="2" s="1"/>
  <c r="H116" i="2" s="1"/>
  <c r="G68" i="2"/>
  <c r="J91" i="8"/>
  <c r="H66" i="2"/>
  <c r="H68" i="2" s="1"/>
  <c r="J65" i="8" s="1"/>
  <c r="J55" i="8"/>
  <c r="J63" i="8" s="1"/>
  <c r="I66" i="2"/>
  <c r="I68" i="2" s="1"/>
  <c r="K65" i="8" s="1"/>
  <c r="K55" i="8"/>
  <c r="K63" i="8" s="1"/>
  <c r="I104" i="8"/>
  <c r="M62" i="8"/>
  <c r="M311" i="8" s="1"/>
  <c r="P62" i="8"/>
  <c r="P311" i="8" s="1"/>
  <c r="N62" i="8"/>
  <c r="N311" i="8" s="1"/>
  <c r="O62" i="8"/>
  <c r="O311" i="8" s="1"/>
  <c r="I46" i="8"/>
  <c r="L334" i="8"/>
  <c r="L336" i="8" s="1"/>
  <c r="L344" i="8"/>
  <c r="L346" i="8" s="1"/>
  <c r="K52" i="8"/>
  <c r="K266" i="8"/>
  <c r="K317" i="8"/>
  <c r="L315" i="8" s="1"/>
  <c r="K96" i="8"/>
  <c r="K264" i="8"/>
  <c r="K259" i="8"/>
  <c r="L257" i="8" s="1"/>
  <c r="K247" i="8"/>
  <c r="L245" i="8" s="1"/>
  <c r="K265" i="8"/>
  <c r="C251" i="8"/>
  <c r="D264" i="8"/>
  <c r="C241" i="8"/>
  <c r="D265" i="8"/>
  <c r="L62" i="8"/>
  <c r="L311" i="8" s="1"/>
  <c r="M52" i="8"/>
  <c r="L51" i="8"/>
  <c r="I52" i="8"/>
  <c r="N253" i="8"/>
  <c r="L253" i="8"/>
  <c r="M253" i="8"/>
  <c r="P253" i="8"/>
  <c r="D232" i="8"/>
  <c r="D231" i="8"/>
  <c r="K137" i="8"/>
  <c r="K215" i="8"/>
  <c r="O208" i="8"/>
  <c r="O23" i="8" s="1"/>
  <c r="M208" i="8"/>
  <c r="M23" i="8" s="1"/>
  <c r="P208" i="8"/>
  <c r="P23" i="8" s="1"/>
  <c r="L208" i="8"/>
  <c r="N208" i="8"/>
  <c r="N23" i="8" s="1"/>
  <c r="L195" i="8"/>
  <c r="J185" i="8" a="1"/>
  <c r="J163" i="8" a="1"/>
  <c r="L172" i="8"/>
  <c r="K174" i="8"/>
  <c r="L171" i="8" s="1"/>
  <c r="K156" i="8"/>
  <c r="L158" i="8" s="1"/>
  <c r="M158" i="8" s="1"/>
  <c r="K178" i="8"/>
  <c r="K197" i="8"/>
  <c r="L194" i="8" s="1"/>
  <c r="D142" i="8"/>
  <c r="D147" i="8"/>
  <c r="D141" i="8"/>
  <c r="D146" i="8"/>
  <c r="M7" i="8"/>
  <c r="M184" i="8" s="1"/>
  <c r="L162" i="8"/>
  <c r="K16" i="8"/>
  <c r="I83" i="8"/>
  <c r="I24" i="8"/>
  <c r="I14" i="8"/>
  <c r="I16" i="8" s="1"/>
  <c r="M36" i="7"/>
  <c r="M30" i="7"/>
  <c r="M42" i="6" s="1"/>
  <c r="M125" i="8" s="1"/>
  <c r="P24" i="7"/>
  <c r="P41" i="6" s="1"/>
  <c r="P114" i="8" s="1"/>
  <c r="N24" i="7"/>
  <c r="N41" i="6" s="1"/>
  <c r="N114" i="8" s="1"/>
  <c r="M18" i="7"/>
  <c r="M40" i="6" s="1"/>
  <c r="M113" i="8" s="1"/>
  <c r="O30" i="7"/>
  <c r="O42" i="6" s="1"/>
  <c r="O125" i="8" s="1"/>
  <c r="P30" i="7"/>
  <c r="P42" i="6" s="1"/>
  <c r="P125" i="8" s="1"/>
  <c r="L24" i="7"/>
  <c r="L41" i="6" s="1"/>
  <c r="L114" i="8" s="1"/>
  <c r="L118" i="8" s="1"/>
  <c r="P18" i="7"/>
  <c r="P40" i="6" s="1"/>
  <c r="P113" i="8" s="1"/>
  <c r="P36" i="7"/>
  <c r="N18" i="7"/>
  <c r="N40" i="6" s="1"/>
  <c r="N113" i="8" s="1"/>
  <c r="N36" i="7"/>
  <c r="N30" i="7"/>
  <c r="N42" i="6" s="1"/>
  <c r="N125" i="8" s="1"/>
  <c r="L30" i="7"/>
  <c r="L42" i="6" s="1"/>
  <c r="L125" i="8" s="1"/>
  <c r="L124" i="8" s="1"/>
  <c r="O24" i="7"/>
  <c r="O41" i="6" s="1"/>
  <c r="O114" i="8" s="1"/>
  <c r="M24" i="7"/>
  <c r="M41" i="6" s="1"/>
  <c r="M114" i="8" s="1"/>
  <c r="O18" i="7"/>
  <c r="O40" i="6" s="1"/>
  <c r="O113" i="8" s="1"/>
  <c r="L18" i="7"/>
  <c r="L40" i="6" s="1"/>
  <c r="L113" i="8" s="1"/>
  <c r="L117" i="8" s="1"/>
  <c r="L36" i="7"/>
  <c r="O36" i="7"/>
  <c r="J90" i="6"/>
  <c r="I86" i="6"/>
  <c r="J86" i="6"/>
  <c r="I89" i="6"/>
  <c r="J87" i="6"/>
  <c r="I88" i="6"/>
  <c r="J89" i="6"/>
  <c r="I90" i="6"/>
  <c r="J88" i="6"/>
  <c r="I87" i="6"/>
  <c r="L7" i="6"/>
  <c r="K11" i="6"/>
  <c r="P48" i="6" l="1"/>
  <c r="P136" i="8" s="1"/>
  <c r="M48" i="6"/>
  <c r="M136" i="8" s="1"/>
  <c r="M151" i="8" s="1"/>
  <c r="M13" i="8" s="1"/>
  <c r="O48" i="6"/>
  <c r="O136" i="8" s="1"/>
  <c r="N48" i="6"/>
  <c r="N136" i="8" s="1"/>
  <c r="L48" i="6"/>
  <c r="L136" i="8" s="1"/>
  <c r="L49" i="8"/>
  <c r="L52" i="8" s="1"/>
  <c r="L304" i="8" s="1"/>
  <c r="O43" i="8"/>
  <c r="N43" i="8"/>
  <c r="P43" i="8"/>
  <c r="M43" i="8"/>
  <c r="I98" i="8"/>
  <c r="I106" i="8" s="1"/>
  <c r="K85" i="5"/>
  <c r="K29" i="8"/>
  <c r="K87" i="5" s="1"/>
  <c r="J85" i="5"/>
  <c r="J29" i="8"/>
  <c r="J87" i="5" s="1"/>
  <c r="J90" i="5"/>
  <c r="J31" i="8"/>
  <c r="J95" i="5" s="1"/>
  <c r="J32" i="8"/>
  <c r="I18" i="8"/>
  <c r="I21" i="8" s="1"/>
  <c r="I25" i="8" s="1"/>
  <c r="I85" i="5"/>
  <c r="I29" i="8"/>
  <c r="I87" i="5" s="1"/>
  <c r="K98" i="8"/>
  <c r="K106" i="8" s="1"/>
  <c r="J98" i="8"/>
  <c r="J106" i="8" s="1"/>
  <c r="I65" i="8"/>
  <c r="I67" i="8" s="1"/>
  <c r="G70" i="2"/>
  <c r="L338" i="8"/>
  <c r="L100" i="8"/>
  <c r="M344" i="8"/>
  <c r="M346" i="8" s="1"/>
  <c r="L101" i="8"/>
  <c r="L258" i="8"/>
  <c r="M304" i="8"/>
  <c r="M334" i="8"/>
  <c r="M336" i="8" s="1"/>
  <c r="K267" i="8"/>
  <c r="L319" i="8"/>
  <c r="L324" i="8" s="1"/>
  <c r="M117" i="8"/>
  <c r="N117" i="8" s="1"/>
  <c r="L246" i="8"/>
  <c r="L23" i="8"/>
  <c r="L81" i="8"/>
  <c r="M81" i="8" s="1"/>
  <c r="N81" i="8" s="1"/>
  <c r="O81" i="8" s="1"/>
  <c r="P81" i="8" s="1"/>
  <c r="K18" i="8"/>
  <c r="K269" i="8"/>
  <c r="L120" i="8"/>
  <c r="M118" i="8"/>
  <c r="K72" i="6"/>
  <c r="K218" i="8"/>
  <c r="K142" i="8"/>
  <c r="K147" i="8" s="1"/>
  <c r="K141" i="8"/>
  <c r="J167" i="8"/>
  <c r="J165" i="8"/>
  <c r="J163" i="8"/>
  <c r="J166" i="8"/>
  <c r="J164" i="8"/>
  <c r="J187" i="8"/>
  <c r="J188" i="8"/>
  <c r="J185" i="8"/>
  <c r="J189" i="8"/>
  <c r="J186" i="8"/>
  <c r="L180" i="8"/>
  <c r="M180" i="8" s="1"/>
  <c r="M162" i="8"/>
  <c r="N7" i="8"/>
  <c r="N158" i="8"/>
  <c r="O158" i="8" s="1"/>
  <c r="P158" i="8" s="1"/>
  <c r="L129" i="8"/>
  <c r="M124" i="8"/>
  <c r="L11" i="6"/>
  <c r="L218" i="8" s="1"/>
  <c r="M7" i="6"/>
  <c r="N151" i="8" l="1"/>
  <c r="N13" i="8" s="1"/>
  <c r="L147" i="8"/>
  <c r="M147" i="8" s="1"/>
  <c r="N147" i="8" s="1"/>
  <c r="L43" i="8"/>
  <c r="K21" i="8"/>
  <c r="K25" i="8" s="1"/>
  <c r="K31" i="8" s="1"/>
  <c r="K95" i="5" s="1"/>
  <c r="K86" i="5"/>
  <c r="I90" i="5"/>
  <c r="J91" i="5" s="1"/>
  <c r="I32" i="8"/>
  <c r="I31" i="8"/>
  <c r="I95" i="5" s="1"/>
  <c r="J92" i="5"/>
  <c r="J96" i="5"/>
  <c r="J86" i="5"/>
  <c r="L56" i="8"/>
  <c r="L305" i="8" s="1"/>
  <c r="L259" i="8"/>
  <c r="M257" i="8" s="1"/>
  <c r="K86" i="6"/>
  <c r="K219" i="8" s="1"/>
  <c r="K226" i="8" s="1"/>
  <c r="K88" i="6"/>
  <c r="K221" i="8" s="1"/>
  <c r="K228" i="8" s="1"/>
  <c r="K89" i="6"/>
  <c r="K222" i="8" s="1"/>
  <c r="K230" i="8" s="1"/>
  <c r="K87" i="6"/>
  <c r="K220" i="8" s="1"/>
  <c r="K227" i="8" s="1"/>
  <c r="K90" i="6"/>
  <c r="K223" i="8" s="1"/>
  <c r="K231" i="8" s="1"/>
  <c r="G79" i="2"/>
  <c r="H69" i="2"/>
  <c r="M101" i="8"/>
  <c r="N344" i="8"/>
  <c r="N346" i="8" s="1"/>
  <c r="L26" i="8"/>
  <c r="L60" i="8"/>
  <c r="L309" i="8" s="1"/>
  <c r="M338" i="8"/>
  <c r="M100" i="8"/>
  <c r="N334" i="8"/>
  <c r="N336" i="8" s="1"/>
  <c r="K271" i="8"/>
  <c r="L289" i="8" s="1"/>
  <c r="L57" i="8"/>
  <c r="L306" i="8" s="1"/>
  <c r="L247" i="8"/>
  <c r="L121" i="8"/>
  <c r="L128" i="8" s="1"/>
  <c r="L130" i="8" s="1"/>
  <c r="L11" i="8" s="1"/>
  <c r="L138" i="8"/>
  <c r="M120" i="8"/>
  <c r="N118" i="8"/>
  <c r="L141" i="8"/>
  <c r="K146" i="8"/>
  <c r="K143" i="8"/>
  <c r="N180" i="8"/>
  <c r="N184" i="8"/>
  <c r="N162" i="8"/>
  <c r="O7" i="8"/>
  <c r="M129" i="8"/>
  <c r="N124" i="8"/>
  <c r="O117" i="8"/>
  <c r="M11" i="6"/>
  <c r="M218" i="8" s="1"/>
  <c r="N7" i="6"/>
  <c r="O151" i="8" l="1"/>
  <c r="O13" i="8" s="1"/>
  <c r="L142" i="8"/>
  <c r="L143" i="8" s="1"/>
  <c r="L12" i="8" s="1"/>
  <c r="L93" i="8"/>
  <c r="L264" i="8" s="1"/>
  <c r="K232" i="8"/>
  <c r="K90" i="5"/>
  <c r="K91" i="5" s="1"/>
  <c r="K32" i="8"/>
  <c r="K92" i="5" s="1"/>
  <c r="L285" i="8"/>
  <c r="K229" i="8"/>
  <c r="L283" i="8"/>
  <c r="L281" i="8"/>
  <c r="L254" i="8" s="1"/>
  <c r="L255" i="8" s="1"/>
  <c r="L261" i="8" s="1"/>
  <c r="L323" i="8" s="1"/>
  <c r="I96" i="5"/>
  <c r="I92" i="5"/>
  <c r="L291" i="8"/>
  <c r="L287" i="8"/>
  <c r="L81" i="5"/>
  <c r="L82" i="5" s="1"/>
  <c r="I72" i="8"/>
  <c r="I76" i="8" s="1"/>
  <c r="I85" i="8" s="1"/>
  <c r="G83" i="2"/>
  <c r="G92" i="2" s="1"/>
  <c r="J66" i="8"/>
  <c r="J67" i="8" s="1"/>
  <c r="H70" i="2"/>
  <c r="M60" i="8"/>
  <c r="M309" i="8" s="1"/>
  <c r="M26" i="8"/>
  <c r="N101" i="8"/>
  <c r="O344" i="8"/>
  <c r="O346" i="8" s="1"/>
  <c r="M258" i="8"/>
  <c r="N338" i="8"/>
  <c r="N100" i="8"/>
  <c r="O334" i="8"/>
  <c r="O336" i="8" s="1"/>
  <c r="M121" i="8"/>
  <c r="M128" i="8" s="1"/>
  <c r="M130" i="8" s="1"/>
  <c r="M11" i="8" s="1"/>
  <c r="M138" i="8"/>
  <c r="M142" i="8" s="1"/>
  <c r="L249" i="8"/>
  <c r="L322" i="8" s="1"/>
  <c r="M245" i="8"/>
  <c r="L94" i="8"/>
  <c r="N120" i="8"/>
  <c r="O118" i="8"/>
  <c r="M141" i="8"/>
  <c r="N141" i="8" s="1"/>
  <c r="L146" i="8"/>
  <c r="L214" i="8"/>
  <c r="L226" i="8" s="1"/>
  <c r="L73" i="8" s="1"/>
  <c r="O180" i="8"/>
  <c r="P180" i="8" s="1"/>
  <c r="O184" i="8"/>
  <c r="O162" i="8"/>
  <c r="P7" i="8"/>
  <c r="O147" i="8"/>
  <c r="N129" i="8"/>
  <c r="O124" i="8"/>
  <c r="P117" i="8"/>
  <c r="N11" i="6"/>
  <c r="N218" i="8" s="1"/>
  <c r="O7" i="6"/>
  <c r="P151" i="8" l="1"/>
  <c r="P13" i="8" s="1"/>
  <c r="L96" i="8"/>
  <c r="K233" i="8"/>
  <c r="K96" i="5"/>
  <c r="I108" i="8"/>
  <c r="I34" i="8"/>
  <c r="I98" i="5" s="1"/>
  <c r="I33" i="8"/>
  <c r="I97" i="5" s="1"/>
  <c r="M81" i="5"/>
  <c r="M82" i="5" s="1"/>
  <c r="N26" i="8"/>
  <c r="N60" i="8"/>
  <c r="N309" i="8" s="1"/>
  <c r="N121" i="8"/>
  <c r="N128" i="8" s="1"/>
  <c r="N130" i="8" s="1"/>
  <c r="N11" i="8" s="1"/>
  <c r="N138" i="8"/>
  <c r="I69" i="2"/>
  <c r="H79" i="2"/>
  <c r="O101" i="8"/>
  <c r="P344" i="8"/>
  <c r="P346" i="8" s="1"/>
  <c r="P101" i="8" s="1"/>
  <c r="M56" i="8"/>
  <c r="M305" i="8" s="1"/>
  <c r="M259" i="8"/>
  <c r="O338" i="8"/>
  <c r="O100" i="8"/>
  <c r="O120" i="8"/>
  <c r="P118" i="8"/>
  <c r="P120" i="8" s="1"/>
  <c r="P334" i="8"/>
  <c r="P336" i="8" s="1"/>
  <c r="M246" i="8"/>
  <c r="L265" i="8"/>
  <c r="L14" i="8"/>
  <c r="L215" i="8"/>
  <c r="L228" i="8" s="1"/>
  <c r="L75" i="8" s="1"/>
  <c r="M143" i="8"/>
  <c r="M12" i="8" s="1"/>
  <c r="M146" i="8"/>
  <c r="M214" i="8"/>
  <c r="M226" i="8" s="1"/>
  <c r="M73" i="8" s="1"/>
  <c r="P162" i="8"/>
  <c r="I163" i="8" a="1"/>
  <c r="P184" i="8"/>
  <c r="P147" i="8"/>
  <c r="O141" i="8"/>
  <c r="O129" i="8"/>
  <c r="P124" i="8"/>
  <c r="P129" i="8" s="1"/>
  <c r="O11" i="6"/>
  <c r="O218" i="8" s="1"/>
  <c r="P7" i="6"/>
  <c r="P11" i="6" s="1"/>
  <c r="P218" i="8" s="1"/>
  <c r="L16" i="8" l="1"/>
  <c r="L231" i="8"/>
  <c r="L90" i="8" s="1"/>
  <c r="N214" i="8"/>
  <c r="N226" i="8" s="1"/>
  <c r="N73" i="8" s="1"/>
  <c r="N81" i="5"/>
  <c r="N82" i="5" s="1"/>
  <c r="O60" i="8"/>
  <c r="O309" i="8" s="1"/>
  <c r="O26" i="8"/>
  <c r="O121" i="8"/>
  <c r="O128" i="8" s="1"/>
  <c r="O130" i="8" s="1"/>
  <c r="O11" i="8" s="1"/>
  <c r="O138" i="8"/>
  <c r="O142" i="8" s="1"/>
  <c r="O143" i="8" s="1"/>
  <c r="O12" i="8" s="1"/>
  <c r="N142" i="8"/>
  <c r="N143" i="8" s="1"/>
  <c r="N12" i="8" s="1"/>
  <c r="N146" i="8"/>
  <c r="K66" i="8"/>
  <c r="K67" i="8" s="1"/>
  <c r="I70" i="2"/>
  <c r="I79" i="2" s="1"/>
  <c r="J72" i="8"/>
  <c r="J76" i="8" s="1"/>
  <c r="J85" i="8" s="1"/>
  <c r="H83" i="2"/>
  <c r="H92" i="2" s="1"/>
  <c r="P138" i="8"/>
  <c r="P142" i="8" s="1"/>
  <c r="P121" i="8"/>
  <c r="P128" i="8" s="1"/>
  <c r="P130" i="8" s="1"/>
  <c r="P11" i="8" s="1"/>
  <c r="M93" i="8"/>
  <c r="M264" i="8" s="1"/>
  <c r="N257" i="8"/>
  <c r="P338" i="8"/>
  <c r="P100" i="8"/>
  <c r="L227" i="8"/>
  <c r="L74" i="8" s="1"/>
  <c r="L230" i="8"/>
  <c r="L89" i="8" s="1"/>
  <c r="M14" i="8"/>
  <c r="M215" i="8"/>
  <c r="M228" i="8" s="1"/>
  <c r="M75" i="8" s="1"/>
  <c r="M57" i="8"/>
  <c r="M306" i="8" s="1"/>
  <c r="M247" i="8"/>
  <c r="N245" i="8" s="1"/>
  <c r="N246" i="8" s="1"/>
  <c r="I164" i="8"/>
  <c r="I167" i="8"/>
  <c r="I165" i="8"/>
  <c r="I163" i="8"/>
  <c r="I166" i="8"/>
  <c r="I185" i="8" a="1"/>
  <c r="P141" i="8"/>
  <c r="L85" i="5" l="1"/>
  <c r="L86" i="5" s="1"/>
  <c r="M94" i="8"/>
  <c r="M96" i="8" s="1"/>
  <c r="L269" i="8"/>
  <c r="M16" i="8"/>
  <c r="N215" i="8"/>
  <c r="N230" i="8" s="1"/>
  <c r="N89" i="8" s="1"/>
  <c r="M249" i="8"/>
  <c r="M322" i="8" s="1"/>
  <c r="L29" i="8"/>
  <c r="L87" i="5" s="1"/>
  <c r="J108" i="8"/>
  <c r="J34" i="8"/>
  <c r="J98" i="5" s="1"/>
  <c r="J33" i="8"/>
  <c r="J97" i="5" s="1"/>
  <c r="O146" i="8"/>
  <c r="N14" i="8"/>
  <c r="M231" i="8"/>
  <c r="M90" i="8" s="1"/>
  <c r="L232" i="8"/>
  <c r="L229" i="8"/>
  <c r="P214" i="8"/>
  <c r="P226" i="8" s="1"/>
  <c r="P73" i="8" s="1"/>
  <c r="P81" i="5"/>
  <c r="O81" i="5"/>
  <c r="O82" i="5" s="1"/>
  <c r="P26" i="8"/>
  <c r="P60" i="8"/>
  <c r="P309" i="8" s="1"/>
  <c r="M227" i="8"/>
  <c r="M230" i="8"/>
  <c r="K297" i="8"/>
  <c r="L295" i="8" s="1"/>
  <c r="L302" i="8" s="1"/>
  <c r="L66" i="8"/>
  <c r="K72" i="8"/>
  <c r="K76" i="8" s="1"/>
  <c r="K85" i="8" s="1"/>
  <c r="I83" i="2"/>
  <c r="I92" i="2" s="1"/>
  <c r="N258" i="8"/>
  <c r="N57" i="8"/>
  <c r="N306" i="8" s="1"/>
  <c r="N247" i="8"/>
  <c r="O214" i="8"/>
  <c r="O226" i="8" s="1"/>
  <c r="O73" i="8" s="1"/>
  <c r="O215" i="8"/>
  <c r="O14" i="8"/>
  <c r="I187" i="8"/>
  <c r="I189" i="8"/>
  <c r="I186" i="8"/>
  <c r="I188" i="8"/>
  <c r="I185" i="8"/>
  <c r="P143" i="8"/>
  <c r="P12" i="8" s="1"/>
  <c r="P146" i="8"/>
  <c r="M85" i="5" l="1"/>
  <c r="M86" i="5" s="1"/>
  <c r="M265" i="8"/>
  <c r="N231" i="8"/>
  <c r="N90" i="8" s="1"/>
  <c r="N227" i="8"/>
  <c r="N74" i="8" s="1"/>
  <c r="N228" i="8"/>
  <c r="N75" i="8" s="1"/>
  <c r="M29" i="8"/>
  <c r="M87" i="5" s="1"/>
  <c r="N16" i="8"/>
  <c r="M269" i="8"/>
  <c r="O16" i="8"/>
  <c r="K108" i="8"/>
  <c r="K34" i="8"/>
  <c r="K98" i="5" s="1"/>
  <c r="K33" i="8"/>
  <c r="K97" i="5" s="1"/>
  <c r="L233" i="8"/>
  <c r="L234" i="8" s="1"/>
  <c r="L44" i="8" s="1"/>
  <c r="P82" i="5"/>
  <c r="M74" i="8"/>
  <c r="M229" i="8"/>
  <c r="M89" i="8"/>
  <c r="M232" i="8"/>
  <c r="N56" i="8"/>
  <c r="N305" i="8" s="1"/>
  <c r="N259" i="8"/>
  <c r="N249" i="8"/>
  <c r="N322" i="8" s="1"/>
  <c r="N94" i="8"/>
  <c r="O245" i="8"/>
  <c r="O246" i="8" s="1"/>
  <c r="O230" i="8"/>
  <c r="O89" i="8" s="1"/>
  <c r="O228" i="8"/>
  <c r="O75" i="8" s="1"/>
  <c r="O227" i="8"/>
  <c r="O74" i="8" s="1"/>
  <c r="O231" i="8"/>
  <c r="O90" i="8" s="1"/>
  <c r="P14" i="8"/>
  <c r="P215" i="8"/>
  <c r="L169" i="8"/>
  <c r="L173" i="8" s="1"/>
  <c r="N187" i="8"/>
  <c r="L187" i="8"/>
  <c r="P189" i="8"/>
  <c r="L189" i="8"/>
  <c r="M186" i="8"/>
  <c r="L186" i="8"/>
  <c r="O188" i="8"/>
  <c r="L188" i="8"/>
  <c r="L185" i="8"/>
  <c r="N269" i="8" l="1"/>
  <c r="N232" i="8"/>
  <c r="N229" i="8"/>
  <c r="N29" i="8"/>
  <c r="N87" i="5" s="1"/>
  <c r="O29" i="8"/>
  <c r="O87" i="5" s="1"/>
  <c r="N85" i="5"/>
  <c r="N86" i="5" s="1"/>
  <c r="O85" i="5"/>
  <c r="O269" i="8"/>
  <c r="P16" i="8"/>
  <c r="M233" i="8"/>
  <c r="M234" i="8" s="1"/>
  <c r="M44" i="8" s="1"/>
  <c r="N93" i="8"/>
  <c r="O257" i="8"/>
  <c r="O258" i="8" s="1"/>
  <c r="N265" i="8"/>
  <c r="O247" i="8"/>
  <c r="O57" i="8"/>
  <c r="O306" i="8" s="1"/>
  <c r="O229" i="8"/>
  <c r="P227" i="8"/>
  <c r="P74" i="8" s="1"/>
  <c r="P230" i="8"/>
  <c r="P89" i="8" s="1"/>
  <c r="P228" i="8"/>
  <c r="P75" i="8" s="1"/>
  <c r="P231" i="8"/>
  <c r="P90" i="8" s="1"/>
  <c r="O232" i="8"/>
  <c r="L174" i="8"/>
  <c r="M169" i="8"/>
  <c r="M173" i="8" s="1"/>
  <c r="M187" i="8"/>
  <c r="O187" i="8" s="1"/>
  <c r="P187" i="8" s="1"/>
  <c r="M189" i="8"/>
  <c r="N189" i="8" s="1"/>
  <c r="O189" i="8" s="1"/>
  <c r="N186" i="8"/>
  <c r="O186" i="8" s="1"/>
  <c r="P186" i="8" s="1"/>
  <c r="M188" i="8"/>
  <c r="N188" i="8" s="1"/>
  <c r="L191" i="8"/>
  <c r="L196" i="8" s="1"/>
  <c r="M185" i="8"/>
  <c r="P29" i="8" l="1"/>
  <c r="P87" i="5" s="1"/>
  <c r="N233" i="8"/>
  <c r="N234" i="8" s="1"/>
  <c r="N44" i="8" s="1"/>
  <c r="O86" i="5"/>
  <c r="P85" i="5"/>
  <c r="P86" i="5" s="1"/>
  <c r="P269" i="8"/>
  <c r="O233" i="8"/>
  <c r="N264" i="8"/>
  <c r="N96" i="8"/>
  <c r="O56" i="8"/>
  <c r="O305" i="8" s="1"/>
  <c r="O259" i="8"/>
  <c r="O249" i="8"/>
  <c r="O322" i="8" s="1"/>
  <c r="O94" i="8"/>
  <c r="P245" i="8"/>
  <c r="P246" i="8" s="1"/>
  <c r="M171" i="8"/>
  <c r="M174" i="8" s="1"/>
  <c r="L78" i="8"/>
  <c r="P229" i="8"/>
  <c r="P232" i="8"/>
  <c r="L197" i="8"/>
  <c r="L17" i="8"/>
  <c r="P188" i="8"/>
  <c r="N169" i="8"/>
  <c r="N173" i="8" s="1"/>
  <c r="M191" i="8"/>
  <c r="M196" i="8" s="1"/>
  <c r="N185" i="8"/>
  <c r="O234" i="8" l="1"/>
  <c r="O44" i="8" s="1"/>
  <c r="L42" i="8"/>
  <c r="P233" i="8"/>
  <c r="P234" i="8" s="1"/>
  <c r="P44" i="8" s="1"/>
  <c r="O93" i="8"/>
  <c r="O264" i="8" s="1"/>
  <c r="P257" i="8"/>
  <c r="P258" i="8" s="1"/>
  <c r="O265" i="8"/>
  <c r="O96" i="8"/>
  <c r="P247" i="8"/>
  <c r="P57" i="8"/>
  <c r="P306" i="8" s="1"/>
  <c r="N171" i="8"/>
  <c r="N174" i="8" s="1"/>
  <c r="M78" i="8"/>
  <c r="M194" i="8"/>
  <c r="M197" i="8" s="1"/>
  <c r="L80" i="8"/>
  <c r="L83" i="8" s="1"/>
  <c r="L18" i="8"/>
  <c r="M17" i="8"/>
  <c r="O169" i="8"/>
  <c r="O173" i="8" s="1"/>
  <c r="O185" i="8"/>
  <c r="N191" i="8"/>
  <c r="N196" i="8" s="1"/>
  <c r="M42" i="8" l="1"/>
  <c r="P56" i="8"/>
  <c r="P305" i="8" s="1"/>
  <c r="P259" i="8"/>
  <c r="P93" i="8" s="1"/>
  <c r="P264" i="8" s="1"/>
  <c r="P249" i="8"/>
  <c r="P322" i="8" s="1"/>
  <c r="P94" i="8"/>
  <c r="O171" i="8"/>
  <c r="O174" i="8" s="1"/>
  <c r="N78" i="8"/>
  <c r="N194" i="8"/>
  <c r="N197" i="8" s="1"/>
  <c r="M80" i="8"/>
  <c r="M83" i="8" s="1"/>
  <c r="M18" i="8"/>
  <c r="N17" i="8"/>
  <c r="O191" i="8"/>
  <c r="O196" i="8" s="1"/>
  <c r="P185" i="8"/>
  <c r="P191" i="8" s="1"/>
  <c r="P196" i="8" s="1"/>
  <c r="P169" i="8"/>
  <c r="P173" i="8" s="1"/>
  <c r="N42" i="8" l="1"/>
  <c r="P96" i="8"/>
  <c r="P265" i="8"/>
  <c r="P171" i="8"/>
  <c r="P174" i="8" s="1"/>
  <c r="P78" i="8" s="1"/>
  <c r="O78" i="8"/>
  <c r="O194" i="8"/>
  <c r="O197" i="8" s="1"/>
  <c r="N80" i="8"/>
  <c r="N83" i="8" s="1"/>
  <c r="N18" i="8"/>
  <c r="O17" i="8"/>
  <c r="P17" i="8"/>
  <c r="P42" i="8" l="1"/>
  <c r="O42" i="8"/>
  <c r="P194" i="8"/>
  <c r="P197" i="8" s="1"/>
  <c r="P80" i="8" s="1"/>
  <c r="P83" i="8" s="1"/>
  <c r="O80" i="8"/>
  <c r="O83" i="8" s="1"/>
  <c r="O18" i="8"/>
  <c r="P18" i="8"/>
  <c r="L299" i="8" l="1"/>
  <c r="L325" i="8" s="1"/>
  <c r="L326" i="8" s="1"/>
  <c r="L20" i="8" s="1"/>
  <c r="L21" i="8" l="1"/>
  <c r="L202" i="8" l="1"/>
  <c r="L204" i="8" s="1"/>
  <c r="L207" i="8" s="1"/>
  <c r="L205" i="8" l="1"/>
  <c r="L209" i="8"/>
  <c r="L22" i="8"/>
  <c r="L210" i="8" l="1"/>
  <c r="L24" i="8"/>
  <c r="L25" i="8" l="1"/>
  <c r="L27" i="8" l="1"/>
  <c r="L90" i="5"/>
  <c r="L91" i="5" s="1"/>
  <c r="L32" i="8"/>
  <c r="L41" i="8"/>
  <c r="L46" i="8" s="1"/>
  <c r="L303" i="8" s="1"/>
  <c r="L92" i="5" l="1"/>
  <c r="L96" i="5"/>
  <c r="L350" i="8"/>
  <c r="L351" i="8" l="1"/>
  <c r="L61" i="8" s="1"/>
  <c r="L310" i="8" s="1"/>
  <c r="L312" i="8" s="1"/>
  <c r="L316" i="8" s="1"/>
  <c r="L317" i="8" l="1"/>
  <c r="L55" i="8"/>
  <c r="L63" i="8" s="1"/>
  <c r="L65" i="8" s="1"/>
  <c r="L352" i="8"/>
  <c r="M349" i="8" l="1"/>
  <c r="L102" i="8"/>
  <c r="L104" i="8" s="1"/>
  <c r="L31" i="8" s="1"/>
  <c r="L95" i="5" s="1"/>
  <c r="M319" i="8"/>
  <c r="M324" i="8" s="1"/>
  <c r="M315" i="8"/>
  <c r="L88" i="8"/>
  <c r="L67" i="8"/>
  <c r="L296" i="8"/>
  <c r="L297" i="8" s="1"/>
  <c r="M299" i="8" l="1"/>
  <c r="M325" i="8" s="1"/>
  <c r="M295" i="8"/>
  <c r="M302" i="8" s="1"/>
  <c r="M66" i="8"/>
  <c r="L72" i="8"/>
  <c r="L76" i="8" s="1"/>
  <c r="L85" i="8" s="1"/>
  <c r="L91" i="8"/>
  <c r="L98" i="8" s="1"/>
  <c r="L106" i="8" s="1"/>
  <c r="L266" i="8"/>
  <c r="L267" i="8" s="1"/>
  <c r="L271" i="8" s="1"/>
  <c r="L34" i="8" l="1"/>
  <c r="L98" i="5" s="1"/>
  <c r="L108" i="8"/>
  <c r="L33" i="8"/>
  <c r="L97" i="5" s="1"/>
  <c r="M289" i="8"/>
  <c r="M281" i="8"/>
  <c r="M254" i="8" s="1"/>
  <c r="M255" i="8" s="1"/>
  <c r="M261" i="8" s="1"/>
  <c r="M323" i="8" s="1"/>
  <c r="M326" i="8" s="1"/>
  <c r="M20" i="8" s="1"/>
  <c r="M287" i="8"/>
  <c r="M291" i="8"/>
  <c r="M285" i="8"/>
  <c r="M283" i="8"/>
  <c r="M21" i="8" l="1"/>
  <c r="M202" i="8" l="1"/>
  <c r="M204" i="8" l="1"/>
  <c r="M207" i="8" s="1"/>
  <c r="M205" i="8"/>
  <c r="M22" i="8" l="1"/>
  <c r="M209" i="8"/>
  <c r="M210" i="8" s="1"/>
  <c r="M24" i="8" l="1"/>
  <c r="M25" i="8" l="1"/>
  <c r="M90" i="5" l="1"/>
  <c r="M91" i="5" s="1"/>
  <c r="M32" i="8"/>
  <c r="M27" i="8"/>
  <c r="M41" i="8"/>
  <c r="M46" i="8" s="1"/>
  <c r="M303" i="8" s="1"/>
  <c r="M350" i="8" l="1"/>
  <c r="M92" i="5"/>
  <c r="M96" i="5"/>
  <c r="M351" i="8" l="1"/>
  <c r="M61" i="8" s="1"/>
  <c r="M310" i="8" s="1"/>
  <c r="M312" i="8" s="1"/>
  <c r="M316" i="8" s="1"/>
  <c r="M352" i="8" l="1"/>
  <c r="M102" i="8" s="1"/>
  <c r="M104" i="8" s="1"/>
  <c r="M31" i="8" s="1"/>
  <c r="M95" i="5" s="1"/>
  <c r="M55" i="8"/>
  <c r="M63" i="8" s="1"/>
  <c r="M65" i="8" s="1"/>
  <c r="M317" i="8"/>
  <c r="N349" i="8" l="1"/>
  <c r="M88" i="8"/>
  <c r="N319" i="8"/>
  <c r="N324" i="8" s="1"/>
  <c r="N315" i="8"/>
  <c r="M296" i="8"/>
  <c r="M297" i="8" s="1"/>
  <c r="M67" i="8"/>
  <c r="N66" i="8" l="1"/>
  <c r="M72" i="8"/>
  <c r="M76" i="8" s="1"/>
  <c r="M85" i="8" s="1"/>
  <c r="N295" i="8"/>
  <c r="N302" i="8" s="1"/>
  <c r="N299" i="8"/>
  <c r="N325" i="8" s="1"/>
  <c r="M266" i="8"/>
  <c r="M267" i="8" s="1"/>
  <c r="M271" i="8" s="1"/>
  <c r="M91" i="8"/>
  <c r="M98" i="8" s="1"/>
  <c r="M106" i="8" s="1"/>
  <c r="N281" i="8" l="1"/>
  <c r="N254" i="8" s="1"/>
  <c r="N255" i="8" s="1"/>
  <c r="N261" i="8" s="1"/>
  <c r="N323" i="8" s="1"/>
  <c r="N326" i="8" s="1"/>
  <c r="N20" i="8" s="1"/>
  <c r="N283" i="8"/>
  <c r="N287" i="8"/>
  <c r="N291" i="8"/>
  <c r="N285" i="8"/>
  <c r="N289" i="8"/>
  <c r="M34" i="8"/>
  <c r="M98" i="5" s="1"/>
  <c r="M33" i="8"/>
  <c r="M97" i="5" s="1"/>
  <c r="M108" i="8"/>
  <c r="N21" i="8" l="1"/>
  <c r="N202" i="8" l="1"/>
  <c r="N204" i="8" l="1"/>
  <c r="N207" i="8" s="1"/>
  <c r="N205" i="8"/>
  <c r="N22" i="8" l="1"/>
  <c r="N209" i="8"/>
  <c r="N210" i="8" s="1"/>
  <c r="N24" i="8" l="1"/>
  <c r="N25" i="8" l="1"/>
  <c r="N32" i="8" l="1"/>
  <c r="N27" i="8"/>
  <c r="N41" i="8"/>
  <c r="N46" i="8" s="1"/>
  <c r="N303" i="8" s="1"/>
  <c r="N90" i="5"/>
  <c r="N91" i="5" s="1"/>
  <c r="N96" i="5" l="1"/>
  <c r="N92" i="5"/>
  <c r="N350" i="8"/>
  <c r="N351" i="8" l="1"/>
  <c r="N61" i="8" s="1"/>
  <c r="N310" i="8" s="1"/>
  <c r="N312" i="8" s="1"/>
  <c r="N316" i="8" s="1"/>
  <c r="N352" i="8" l="1"/>
  <c r="N55" i="8"/>
  <c r="N63" i="8" s="1"/>
  <c r="N65" i="8" s="1"/>
  <c r="N317" i="8"/>
  <c r="N296" i="8" l="1"/>
  <c r="N297" i="8" s="1"/>
  <c r="N67" i="8"/>
  <c r="O319" i="8"/>
  <c r="O324" i="8" s="1"/>
  <c r="O315" i="8"/>
  <c r="N88" i="8"/>
  <c r="O349" i="8"/>
  <c r="N102" i="8"/>
  <c r="N104" i="8" s="1"/>
  <c r="N31" i="8" s="1"/>
  <c r="N95" i="5" s="1"/>
  <c r="N91" i="8" l="1"/>
  <c r="N98" i="8" s="1"/>
  <c r="N106" i="8" s="1"/>
  <c r="N266" i="8"/>
  <c r="N267" i="8" s="1"/>
  <c r="N271" i="8" s="1"/>
  <c r="N72" i="8"/>
  <c r="N76" i="8" s="1"/>
  <c r="N85" i="8" s="1"/>
  <c r="O66" i="8"/>
  <c r="O295" i="8"/>
  <c r="O302" i="8" s="1"/>
  <c r="O299" i="8"/>
  <c r="O325" i="8" s="1"/>
  <c r="N33" i="8" l="1"/>
  <c r="N97" i="5" s="1"/>
  <c r="N108" i="8"/>
  <c r="N34" i="8"/>
  <c r="N98" i="5" s="1"/>
  <c r="O291" i="8"/>
  <c r="O285" i="8"/>
  <c r="O283" i="8"/>
  <c r="O281" i="8"/>
  <c r="O254" i="8" s="1"/>
  <c r="O255" i="8" s="1"/>
  <c r="O261" i="8" s="1"/>
  <c r="O323" i="8" s="1"/>
  <c r="O326" i="8" s="1"/>
  <c r="O20" i="8" s="1"/>
  <c r="O287" i="8"/>
  <c r="O289" i="8"/>
  <c r="O21" i="8" l="1"/>
  <c r="O202" i="8" l="1"/>
  <c r="O205" i="8" l="1"/>
  <c r="O204" i="8"/>
  <c r="O207" i="8" s="1"/>
  <c r="O209" i="8" l="1"/>
  <c r="O210" i="8" s="1"/>
  <c r="O22" i="8"/>
  <c r="O24" i="8" l="1"/>
  <c r="O25" i="8" l="1"/>
  <c r="O27" i="8" l="1"/>
  <c r="O41" i="8"/>
  <c r="O46" i="8" s="1"/>
  <c r="O303" i="8" s="1"/>
  <c r="O90" i="5"/>
  <c r="O91" i="5" s="1"/>
  <c r="O32" i="8"/>
  <c r="O92" i="5" l="1"/>
  <c r="O96" i="5"/>
  <c r="O350" i="8"/>
  <c r="O351" i="8" l="1"/>
  <c r="O61" i="8" s="1"/>
  <c r="O310" i="8" s="1"/>
  <c r="O312" i="8" s="1"/>
  <c r="O316" i="8" s="1"/>
  <c r="O352" i="8" l="1"/>
  <c r="P349" i="8" s="1"/>
  <c r="O55" i="8"/>
  <c r="O63" i="8" s="1"/>
  <c r="O65" i="8" s="1"/>
  <c r="O317" i="8"/>
  <c r="O102" i="8" l="1"/>
  <c r="O104" i="8" s="1"/>
  <c r="O31" i="8" s="1"/>
  <c r="O95" i="5" s="1"/>
  <c r="O88" i="8"/>
  <c r="P319" i="8"/>
  <c r="P324" i="8" s="1"/>
  <c r="P315" i="8"/>
  <c r="O67" i="8"/>
  <c r="O296" i="8"/>
  <c r="O297" i="8" s="1"/>
  <c r="P295" i="8" l="1"/>
  <c r="P302" i="8" s="1"/>
  <c r="P299" i="8"/>
  <c r="P325" i="8" s="1"/>
  <c r="P66" i="8"/>
  <c r="O72" i="8"/>
  <c r="O76" i="8" s="1"/>
  <c r="O85" i="8" s="1"/>
  <c r="O91" i="8"/>
  <c r="O98" i="8" s="1"/>
  <c r="O106" i="8" s="1"/>
  <c r="O266" i="8"/>
  <c r="O267" i="8" s="1"/>
  <c r="O271" i="8" s="1"/>
  <c r="P287" i="8" l="1"/>
  <c r="P291" i="8"/>
  <c r="P283" i="8"/>
  <c r="P289" i="8"/>
  <c r="P285" i="8"/>
  <c r="P281" i="8"/>
  <c r="P254" i="8" s="1"/>
  <c r="P255" i="8" s="1"/>
  <c r="P261" i="8" s="1"/>
  <c r="P323" i="8" s="1"/>
  <c r="P326" i="8" s="1"/>
  <c r="P20" i="8" s="1"/>
  <c r="O108" i="8"/>
  <c r="O34" i="8"/>
  <c r="O98" i="5" s="1"/>
  <c r="O33" i="8"/>
  <c r="O97" i="5" s="1"/>
  <c r="P21" i="8" l="1"/>
  <c r="P202" i="8" l="1"/>
  <c r="P204" i="8" l="1"/>
  <c r="P207" i="8" s="1"/>
  <c r="P205" i="8"/>
  <c r="P22" i="8" l="1"/>
  <c r="P209" i="8"/>
  <c r="P210" i="8" s="1"/>
  <c r="P24" i="8" l="1"/>
  <c r="P25" i="8" l="1"/>
  <c r="P90" i="5" l="1"/>
  <c r="P91" i="5" s="1"/>
  <c r="P32" i="8"/>
  <c r="P27" i="8"/>
  <c r="P41" i="8"/>
  <c r="P46" i="8" s="1"/>
  <c r="P303" i="8" s="1"/>
  <c r="P96" i="5" l="1"/>
  <c r="P92" i="5"/>
  <c r="P350" i="8"/>
  <c r="P351" i="8" l="1"/>
  <c r="P61" i="8" s="1"/>
  <c r="P310" i="8" s="1"/>
  <c r="P312" i="8" s="1"/>
  <c r="P316" i="8" s="1"/>
  <c r="P352" i="8" l="1"/>
  <c r="P102" i="8" s="1"/>
  <c r="P104" i="8" s="1"/>
  <c r="P31" i="8" s="1"/>
  <c r="P95" i="5" s="1"/>
  <c r="P55" i="8"/>
  <c r="P63" i="8" s="1"/>
  <c r="P65" i="8" s="1"/>
  <c r="P317" i="8"/>
  <c r="P88" i="8" s="1"/>
  <c r="P266" i="8" l="1"/>
  <c r="P267" i="8" s="1"/>
  <c r="P271" i="8" s="1"/>
  <c r="P91" i="8"/>
  <c r="P98" i="8" s="1"/>
  <c r="P106" i="8" s="1"/>
  <c r="P296" i="8"/>
  <c r="P297" i="8" s="1"/>
  <c r="P67" i="8"/>
  <c r="P72" i="8" s="1"/>
  <c r="P76" i="8" s="1"/>
  <c r="P85" i="8" s="1"/>
  <c r="P108" i="8" l="1"/>
  <c r="F108" i="8" s="1"/>
  <c r="P34" i="8"/>
  <c r="P98" i="5" s="1"/>
  <c r="P33" i="8"/>
  <c r="P97" i="5" s="1"/>
  <c r="J4" i="9" l="1"/>
  <c r="J4" i="7"/>
  <c r="J4" i="5"/>
  <c r="J4" i="8"/>
  <c r="J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<sst xmlns="http://schemas.openxmlformats.org/spreadsheetml/2006/main" count="609" uniqueCount="272">
  <si>
    <t>Total Liabilities and Equity</t>
  </si>
  <si>
    <t>Shareholder's Equity</t>
  </si>
  <si>
    <t>Other</t>
  </si>
  <si>
    <t>Retained Earnings</t>
  </si>
  <si>
    <t>Common Shares</t>
  </si>
  <si>
    <t>Preferred Shares</t>
  </si>
  <si>
    <t>Total Liabilities</t>
  </si>
  <si>
    <t>Total Long Term Liabilities</t>
  </si>
  <si>
    <t>Fixed Rate Long Term Debt</t>
  </si>
  <si>
    <t>Variable Rate Long Term Debt</t>
  </si>
  <si>
    <t>Total Current Liabilities</t>
  </si>
  <si>
    <t>Accounts Payable</t>
  </si>
  <si>
    <t>Bank Debt - Revolver</t>
  </si>
  <si>
    <t>LIABILITIES AND EQUITY</t>
  </si>
  <si>
    <t>Total Assets</t>
  </si>
  <si>
    <t>Total Long Term Assets</t>
  </si>
  <si>
    <t>Deferred income taxes</t>
  </si>
  <si>
    <t>Intangibles</t>
  </si>
  <si>
    <t>Goodwill</t>
  </si>
  <si>
    <t>Net PP&amp;E</t>
  </si>
  <si>
    <t>Total Current Assets</t>
  </si>
  <si>
    <t>Inventory</t>
  </si>
  <si>
    <t>Accounts Receivable</t>
  </si>
  <si>
    <t>Cash and Equivalents</t>
  </si>
  <si>
    <t>ASSETS</t>
  </si>
  <si>
    <t>($ Millions)</t>
  </si>
  <si>
    <t>Balance Sheet</t>
  </si>
  <si>
    <t>Ending Cash</t>
  </si>
  <si>
    <t>Beginning Cash</t>
  </si>
  <si>
    <t>Change in Cash Position</t>
  </si>
  <si>
    <t>Financing Cash Flow</t>
  </si>
  <si>
    <t>Common Share Dividends</t>
  </si>
  <si>
    <t>Preferred Share Dividends</t>
  </si>
  <si>
    <t>Common Share Issuance/ (Buy-Back)</t>
  </si>
  <si>
    <t>Preferred Share Issuance/ (Buy-Back)</t>
  </si>
  <si>
    <t>Fixed Rate Long Term Debt Issuance / (Repayment)</t>
  </si>
  <si>
    <t>Variable Rate Long Term Debt Issuance / (Repayment)</t>
  </si>
  <si>
    <t>Revolver Issuance / (Repayment)</t>
  </si>
  <si>
    <t>Financing Activities</t>
  </si>
  <si>
    <t>Investing Cash Flow</t>
  </si>
  <si>
    <t>Asset Disposal</t>
  </si>
  <si>
    <t>CAPEX</t>
  </si>
  <si>
    <t>Investing Activities</t>
  </si>
  <si>
    <t>Operating Cash Flow</t>
  </si>
  <si>
    <t>Changes in Working Capital</t>
  </si>
  <si>
    <t>Deferred Income Taxes</t>
  </si>
  <si>
    <t>Depreciation</t>
  </si>
  <si>
    <t>Net Income</t>
  </si>
  <si>
    <t>Operating Activities</t>
  </si>
  <si>
    <t>Cash Flow Statement</t>
  </si>
  <si>
    <t>Net Income to Common</t>
  </si>
  <si>
    <t>Preferred Dividend</t>
  </si>
  <si>
    <t>Total Income Taxes</t>
  </si>
  <si>
    <t>Current Taxes</t>
  </si>
  <si>
    <t>EBT</t>
  </si>
  <si>
    <t>Net Interest Expense</t>
  </si>
  <si>
    <t>EBIT</t>
  </si>
  <si>
    <t>Depreciation &amp; Amortization</t>
  </si>
  <si>
    <t>EBITDA</t>
  </si>
  <si>
    <t>Total Costs</t>
  </si>
  <si>
    <t>SG&amp;A</t>
  </si>
  <si>
    <t>Cost of Sales</t>
  </si>
  <si>
    <t>Revenue</t>
  </si>
  <si>
    <t>SG&amp;A (% of revenue)</t>
  </si>
  <si>
    <t>COGS (% of revenue)</t>
  </si>
  <si>
    <t>Revenue Growth</t>
  </si>
  <si>
    <t>Income Statement</t>
  </si>
  <si>
    <t>FED Manufacruring</t>
  </si>
  <si>
    <t>Modeler:</t>
  </si>
  <si>
    <t>Version:</t>
  </si>
  <si>
    <t>Ver 1.01</t>
  </si>
  <si>
    <t>Circularity in model</t>
  </si>
  <si>
    <t>Model Base Year</t>
  </si>
  <si>
    <t>Units</t>
  </si>
  <si>
    <t>Input</t>
  </si>
  <si>
    <t>Template</t>
  </si>
  <si>
    <t>Actual</t>
  </si>
  <si>
    <t>Forecast</t>
  </si>
  <si>
    <t>Description</t>
  </si>
  <si>
    <t>Summary</t>
  </si>
  <si>
    <t>Model &amp; Schedules</t>
  </si>
  <si>
    <t>Scenarios</t>
  </si>
  <si>
    <t>Inputs &amp; Assumptions</t>
  </si>
  <si>
    <t>General Model Assumptions</t>
  </si>
  <si>
    <t>Model Style Guide</t>
  </si>
  <si>
    <t>Normal style</t>
  </si>
  <si>
    <t>number</t>
  </si>
  <si>
    <t>Input cells</t>
  </si>
  <si>
    <t>Percent</t>
  </si>
  <si>
    <t>Multiples</t>
  </si>
  <si>
    <t>%age</t>
  </si>
  <si>
    <t>times</t>
  </si>
  <si>
    <t>Linked cell</t>
  </si>
  <si>
    <t>Text</t>
  </si>
  <si>
    <t>Headings 1</t>
  </si>
  <si>
    <t>Headings 2</t>
  </si>
  <si>
    <t>Headings 3</t>
  </si>
  <si>
    <t>Currency</t>
  </si>
  <si>
    <t>currency</t>
  </si>
  <si>
    <t>$'m</t>
  </si>
  <si>
    <t>Revenue Assumptions</t>
  </si>
  <si>
    <t>Average Sales Price</t>
  </si>
  <si>
    <t>$</t>
  </si>
  <si>
    <t>Volume</t>
  </si>
  <si>
    <t>units</t>
  </si>
  <si>
    <t>Auxillary Sales</t>
  </si>
  <si>
    <t>Total Revenue</t>
  </si>
  <si>
    <t>Net Revenue</t>
  </si>
  <si>
    <t>Days in a period</t>
  </si>
  <si>
    <t>days</t>
  </si>
  <si>
    <t>Million constant</t>
  </si>
  <si>
    <t>Thousand constant</t>
  </si>
  <si>
    <t>divisor</t>
  </si>
  <si>
    <t>Scenario Analysis</t>
  </si>
  <si>
    <t>Base Case</t>
  </si>
  <si>
    <t>Best Case</t>
  </si>
  <si>
    <t>Worst Case</t>
  </si>
  <si>
    <t>Price Growth Scenario</t>
  </si>
  <si>
    <t>Used in model</t>
  </si>
  <si>
    <t>Volume Growth Scenario</t>
  </si>
  <si>
    <t>Volume Constraint</t>
  </si>
  <si>
    <t>Price Growth</t>
  </si>
  <si>
    <t>Volume Growth</t>
  </si>
  <si>
    <t>Auxiliary Sales Growth</t>
  </si>
  <si>
    <t>Operating Cost Assumptions</t>
  </si>
  <si>
    <t>Fixed Costs</t>
  </si>
  <si>
    <t>Variable Costs</t>
  </si>
  <si>
    <t>Cost Inflation</t>
  </si>
  <si>
    <t>Cost Inflation Scenario</t>
  </si>
  <si>
    <t>Capex &amp; Depreciation Assumptions</t>
  </si>
  <si>
    <t>Depreciation technique</t>
  </si>
  <si>
    <t>text</t>
  </si>
  <si>
    <t>Reducing balance</t>
  </si>
  <si>
    <t>years</t>
  </si>
  <si>
    <t>Existing tangible assets useful life</t>
  </si>
  <si>
    <t>New tangible assets useful life</t>
  </si>
  <si>
    <t>Existing intangible assets useful life</t>
  </si>
  <si>
    <t>New intangible assets useful life</t>
  </si>
  <si>
    <t>FED Manufacturing</t>
  </si>
  <si>
    <t>Capex (Tangible Assets</t>
  </si>
  <si>
    <t>Additions</t>
  </si>
  <si>
    <t>Useful Life (Tangible Assets</t>
  </si>
  <si>
    <t>Capex (Intangible Assets</t>
  </si>
  <si>
    <t>Useful Life (Intangible Assets)</t>
  </si>
  <si>
    <t>Software cost (Additions)</t>
  </si>
  <si>
    <t>Working Capital Assumptions</t>
  </si>
  <si>
    <t>Extracts from Financials</t>
  </si>
  <si>
    <t>Balances</t>
  </si>
  <si>
    <t>Days</t>
  </si>
  <si>
    <t>Tax Assumptions</t>
  </si>
  <si>
    <t>Company Tax Rate</t>
  </si>
  <si>
    <t>Increase in PBT due to timing difference</t>
  </si>
  <si>
    <t>Debt Assumptions</t>
  </si>
  <si>
    <t>Interest Rates</t>
  </si>
  <si>
    <t>Interest on fixed rate debt</t>
  </si>
  <si>
    <t>Interest on revolver</t>
  </si>
  <si>
    <t>Interest on excess cash</t>
  </si>
  <si>
    <t>Variable rate debt SOFR</t>
  </si>
  <si>
    <t>Spread</t>
  </si>
  <si>
    <t>If Total Debt / EBITDA &gt;=</t>
  </si>
  <si>
    <t>Spread to SOFR</t>
  </si>
  <si>
    <t>Spread on variable rate debt is determined using this grid below</t>
  </si>
  <si>
    <t>Debt Repayment</t>
  </si>
  <si>
    <t>Amortisation technique</t>
  </si>
  <si>
    <t>Variable Rate term debt repayment</t>
  </si>
  <si>
    <t>Fixed Rate term debt repayment</t>
  </si>
  <si>
    <t>Equity Assumptions</t>
  </si>
  <si>
    <t>Preferred Shares issuance</t>
  </si>
  <si>
    <t>Common Shares buyback</t>
  </si>
  <si>
    <t>Preferred Shares Dividend Ratio</t>
  </si>
  <si>
    <t>Common Shares Dividend Ratio</t>
  </si>
  <si>
    <t>Other Assumptions</t>
  </si>
  <si>
    <t>Financial Statements</t>
  </si>
  <si>
    <t>Grand totals</t>
  </si>
  <si>
    <t>Subtotal</t>
  </si>
  <si>
    <t>Cashflow Statement</t>
  </si>
  <si>
    <t>Balance Check</t>
  </si>
  <si>
    <t>Schedules &amp; Calculations</t>
  </si>
  <si>
    <t>Revenue Schedule</t>
  </si>
  <si>
    <t>Core Revenue</t>
  </si>
  <si>
    <t>Actual Volume</t>
  </si>
  <si>
    <t>Auxuliary Revenue</t>
  </si>
  <si>
    <t>Revenue Summary</t>
  </si>
  <si>
    <t>Operating Costs Schedule</t>
  </si>
  <si>
    <t>Cost of Sales in Aggregate</t>
  </si>
  <si>
    <t>Cost of Sales in Units</t>
  </si>
  <si>
    <t>Total Cost of Sales</t>
  </si>
  <si>
    <t>Capex, Depreciation and Amortisation Schedule</t>
  </si>
  <si>
    <t>Tangible Assets</t>
  </si>
  <si>
    <t>Existing Assets NBV</t>
  </si>
  <si>
    <t>Depreciation on existing assets</t>
  </si>
  <si>
    <t>Depreciation on new assets</t>
  </si>
  <si>
    <t>Total depreciation on new assets</t>
  </si>
  <si>
    <t>PPE Schedule</t>
  </si>
  <si>
    <t>Beginning Balance</t>
  </si>
  <si>
    <t>Add: New Capex</t>
  </si>
  <si>
    <t>Less: Depreciation</t>
  </si>
  <si>
    <t>Ending Balance</t>
  </si>
  <si>
    <t>Years</t>
  </si>
  <si>
    <t>Intangible Assets</t>
  </si>
  <si>
    <t>Existing Intangible Assets NBV</t>
  </si>
  <si>
    <t>Tax Schedule</t>
  </si>
  <si>
    <t>EBT: Accounting</t>
  </si>
  <si>
    <t>Government EBT</t>
  </si>
  <si>
    <t>Accounting Tax</t>
  </si>
  <si>
    <t>Check</t>
  </si>
  <si>
    <t>Working Capital Schedule</t>
  </si>
  <si>
    <t>FS Extracts</t>
  </si>
  <si>
    <t>Days Assumption</t>
  </si>
  <si>
    <t>Operating Working Capital</t>
  </si>
  <si>
    <t>Assets</t>
  </si>
  <si>
    <t>Total amortisation on new assets</t>
  </si>
  <si>
    <t>Intangible Assets Schedule</t>
  </si>
  <si>
    <t>Less: Amortisation</t>
  </si>
  <si>
    <t>Amortisation on existing assets</t>
  </si>
  <si>
    <t>Amortisation on new assets</t>
  </si>
  <si>
    <t>OWC</t>
  </si>
  <si>
    <t>Changes in OWC</t>
  </si>
  <si>
    <t>Debt and Financing Schedules</t>
  </si>
  <si>
    <t>Loan Repayment</t>
  </si>
  <si>
    <t>Total Interest Rate on Variable Rate Debt</t>
  </si>
  <si>
    <t>Total debt</t>
  </si>
  <si>
    <t>Debt Aggregation</t>
  </si>
  <si>
    <t>Total Debt/EBITDA</t>
  </si>
  <si>
    <t>multiple</t>
  </si>
  <si>
    <t>Method 2: Using XLOOKUP</t>
  </si>
  <si>
    <t>Method 3: Using VLOOKUP</t>
  </si>
  <si>
    <t>Method 4: Using LOOKUP</t>
  </si>
  <si>
    <t>Method 5: Using OFFSET and MATCH</t>
  </si>
  <si>
    <t>Method 1: Using INDEX and MATCH</t>
  </si>
  <si>
    <t>Method 6: Using CHOOSE and MATCH</t>
  </si>
  <si>
    <t>Other Operating Cash Flow</t>
  </si>
  <si>
    <t>Excess Cash</t>
  </si>
  <si>
    <t>Circularity Toggle &gt;&gt;&gt;</t>
  </si>
  <si>
    <t>Revolver Schedule</t>
  </si>
  <si>
    <t>Cash Available for revolving credit facility</t>
  </si>
  <si>
    <t>Revolver</t>
  </si>
  <si>
    <t>Drawdown/(Repayment)</t>
  </si>
  <si>
    <t>Equity Schedules</t>
  </si>
  <si>
    <t>Interest Summary</t>
  </si>
  <si>
    <t>Interest Expense on Revlover</t>
  </si>
  <si>
    <t>Interest Expense on Variable Rate Debt</t>
  </si>
  <si>
    <t>Interest Expense on Fixed Rate Debt</t>
  </si>
  <si>
    <t>Interest Income on Cash</t>
  </si>
  <si>
    <t>Preferred Shares Schedule</t>
  </si>
  <si>
    <t>Issuance/(Buyback)</t>
  </si>
  <si>
    <t>Preferred Dividends</t>
  </si>
  <si>
    <t>Common Shares Schedule</t>
  </si>
  <si>
    <t>Retained Earnings Schedule</t>
  </si>
  <si>
    <t>Add: Net Income to Common</t>
  </si>
  <si>
    <t>Less: Dividend Payments</t>
  </si>
  <si>
    <t>OFF</t>
  </si>
  <si>
    <t>Cost Adjustments - Gain / (Loss)</t>
  </si>
  <si>
    <t xml:space="preserve">Other </t>
  </si>
  <si>
    <t>EBITDA Margin</t>
  </si>
  <si>
    <t>Dupont Analysis</t>
  </si>
  <si>
    <t>ROE</t>
  </si>
  <si>
    <t>Net Profit Margin</t>
  </si>
  <si>
    <t>Asset Turnover</t>
  </si>
  <si>
    <t>Financial Leverage</t>
  </si>
  <si>
    <t>Model Summary</t>
  </si>
  <si>
    <t>Gross Revenue</t>
  </si>
  <si>
    <t>Growth Rate</t>
  </si>
  <si>
    <t>Net Profit</t>
  </si>
  <si>
    <t>ratio</t>
  </si>
  <si>
    <t>Trend</t>
  </si>
  <si>
    <t>Summary Based on Scenario: Base Case</t>
  </si>
  <si>
    <t>Summary Based on Scenario: Best Case</t>
  </si>
  <si>
    <t>Summary Based on Scenario: Worst Case</t>
  </si>
  <si>
    <t>Summary Generator</t>
  </si>
  <si>
    <t>Auxiliary Revenue Growth</t>
  </si>
  <si>
    <t>Animashaun Jafar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</si>
</sst>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_(* #,##0.0_);_(* \(#,##0.0\);_(* &quot;-&quot;??_);_(@_)"/>
    <numFmt numFmtId="167" formatCode="#,##0.000_);\(#,##0.000\)"/>
    <numFmt numFmtId="168" formatCode="0\A"/>
    <numFmt numFmtId="169" formatCode="0\F"/>
    <numFmt numFmtId="170" formatCode="#,##0.00_);[Red]\(#,##0.00\);\-"/>
    <numFmt numFmtId="171" formatCode="0.00&quot;x&quot;"/>
    <numFmt numFmtId="172" formatCode="#,##0.00000000000"/>
  </numFmts>
  <fonts count="38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sz val="10"/>
      <color rgb="FF0000FF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indexed="12"/>
      <name val="Times New Roman"/>
      <family val="1"/>
    </font>
    <font>
      <b/>
      <sz val="10"/>
      <color indexed="12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8"/>
      <name val="Times New Roman"/>
      <family val="1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name val="Arial"/>
      <family val="2"/>
    </font>
    <font>
      <b/>
      <sz val="13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9"/>
      <color rgb="FF7F7F7F"/>
      <name val="Arial"/>
      <family val="2"/>
    </font>
    <font>
      <b/>
      <sz val="9"/>
      <color rgb="FF7F7F7F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color rgb="FF7F7F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170" fontId="0" fillId="0" borderId="0" applyFill="0" applyBorder="0" applyAlignment="0" applyProtection="0"/>
    <xf numFmtId="43" fontId="2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0" fontId="5" fillId="0" borderId="25" applyNumberFormat="0" applyFill="0" applyAlignment="0" applyProtection="0"/>
    <xf numFmtId="170" fontId="27" fillId="4" borderId="17" applyNumberFormat="0" applyAlignment="0" applyProtection="0"/>
    <xf numFmtId="171" fontId="24" fillId="0" borderId="0" applyFont="0" applyFill="0" applyBorder="0" applyAlignment="0" applyProtection="0"/>
    <xf numFmtId="170" fontId="24" fillId="0" borderId="18" applyNumberFormat="0" applyFont="0" applyFill="0" applyAlignment="0" applyProtection="0"/>
    <xf numFmtId="170" fontId="29" fillId="0" borderId="4" applyNumberFormat="0" applyFill="0" applyAlignment="0" applyProtection="0"/>
    <xf numFmtId="170" fontId="30" fillId="0" borderId="1" applyNumberFormat="0" applyFill="0" applyAlignment="0" applyProtection="0"/>
    <xf numFmtId="170" fontId="25" fillId="0" borderId="3" applyNumberFormat="0" applyFill="0" applyAlignment="0" applyProtection="0"/>
  </cellStyleXfs>
  <cellXfs count="170">
    <xf numFmtId="170" fontId="0" fillId="0" borderId="0" xfId="0"/>
    <xf numFmtId="170" fontId="3" fillId="0" borderId="0" xfId="0" applyFont="1"/>
    <xf numFmtId="166" fontId="3" fillId="0" borderId="0" xfId="1" applyNumberFormat="1" applyFont="1" applyBorder="1" applyProtection="1"/>
    <xf numFmtId="37" fontId="5" fillId="0" borderId="0" xfId="1" applyNumberFormat="1" applyFont="1" applyBorder="1" applyProtection="1"/>
    <xf numFmtId="170" fontId="5" fillId="0" borderId="0" xfId="0" quotePrefix="1" applyFont="1" applyAlignment="1">
      <alignment horizontal="left"/>
    </xf>
    <xf numFmtId="37" fontId="0" fillId="0" borderId="0" xfId="1" applyNumberFormat="1" applyFont="1" applyProtection="1"/>
    <xf numFmtId="37" fontId="6" fillId="0" borderId="0" xfId="1" applyNumberFormat="1" applyFont="1" applyBorder="1" applyProtection="1"/>
    <xf numFmtId="37" fontId="0" fillId="0" borderId="0" xfId="1" applyNumberFormat="1" applyFont="1" applyBorder="1" applyProtection="1"/>
    <xf numFmtId="170" fontId="5" fillId="0" borderId="0" xfId="0" applyFont="1" applyAlignment="1">
      <alignment horizontal="left"/>
    </xf>
    <xf numFmtId="167" fontId="7" fillId="0" borderId="0" xfId="1" applyNumberFormat="1" applyFont="1" applyBorder="1" applyProtection="1"/>
    <xf numFmtId="170" fontId="0" fillId="0" borderId="0" xfId="0" applyAlignment="1">
      <alignment horizontal="left"/>
    </xf>
    <xf numFmtId="170" fontId="5" fillId="0" borderId="0" xfId="0" applyFont="1"/>
    <xf numFmtId="168" fontId="9" fillId="0" borderId="0" xfId="0" applyNumberFormat="1" applyFont="1" applyAlignment="1">
      <alignment horizontal="right"/>
    </xf>
    <xf numFmtId="170" fontId="10" fillId="0" borderId="0" xfId="0" applyFont="1" applyAlignment="1">
      <alignment horizontal="left"/>
    </xf>
    <xf numFmtId="170" fontId="10" fillId="0" borderId="0" xfId="0" quotePrefix="1" applyFont="1"/>
    <xf numFmtId="170" fontId="3" fillId="0" borderId="4" xfId="0" applyFont="1" applyBorder="1" applyAlignment="1">
      <alignment horizontal="centerContinuous"/>
    </xf>
    <xf numFmtId="170" fontId="12" fillId="0" borderId="4" xfId="0" applyFont="1" applyBorder="1" applyAlignment="1">
      <alignment horizontal="centerContinuous"/>
    </xf>
    <xf numFmtId="170" fontId="3" fillId="0" borderId="0" xfId="0" applyFont="1" applyAlignment="1">
      <alignment horizontal="centerContinuous"/>
    </xf>
    <xf numFmtId="170" fontId="13" fillId="0" borderId="0" xfId="0" applyFont="1" applyAlignment="1">
      <alignment horizontal="centerContinuous"/>
    </xf>
    <xf numFmtId="170" fontId="14" fillId="0" borderId="0" xfId="0" applyFont="1" applyAlignment="1">
      <alignment horizontal="centerContinuous"/>
    </xf>
    <xf numFmtId="170" fontId="15" fillId="0" borderId="0" xfId="0" applyFont="1"/>
    <xf numFmtId="170" fontId="0" fillId="0" borderId="0" xfId="0" quotePrefix="1" applyAlignment="1">
      <alignment horizontal="left"/>
    </xf>
    <xf numFmtId="168" fontId="16" fillId="0" borderId="0" xfId="0" applyNumberFormat="1" applyFont="1" applyAlignment="1">
      <alignment horizontal="right"/>
    </xf>
    <xf numFmtId="170" fontId="4" fillId="0" borderId="0" xfId="0" quotePrefix="1" applyFont="1" applyAlignment="1">
      <alignment horizontal="left"/>
    </xf>
    <xf numFmtId="164" fontId="5" fillId="0" borderId="0" xfId="0" quotePrefix="1" applyNumberFormat="1" applyFont="1" applyAlignment="1">
      <alignment horizontal="left"/>
    </xf>
    <xf numFmtId="164" fontId="0" fillId="0" borderId="0" xfId="0" quotePrefix="1" applyNumberFormat="1" applyAlignment="1">
      <alignment horizontal="left"/>
    </xf>
    <xf numFmtId="170" fontId="9" fillId="0" borderId="0" xfId="0" applyFont="1"/>
    <xf numFmtId="170" fontId="17" fillId="0" borderId="0" xfId="0" applyFont="1" applyAlignment="1">
      <alignment horizontal="center"/>
    </xf>
    <xf numFmtId="170" fontId="16" fillId="0" borderId="0" xfId="0" applyFont="1"/>
    <xf numFmtId="170" fontId="20" fillId="0" borderId="8" xfId="0" applyFont="1" applyBorder="1"/>
    <xf numFmtId="170" fontId="19" fillId="0" borderId="8" xfId="0" applyFont="1" applyBorder="1"/>
    <xf numFmtId="170" fontId="0" fillId="0" borderId="8" xfId="0" applyBorder="1"/>
    <xf numFmtId="0" fontId="19" fillId="0" borderId="9" xfId="3" applyFont="1" applyBorder="1" applyAlignment="1">
      <alignment horizontal="left" vertical="center"/>
    </xf>
    <xf numFmtId="170" fontId="20" fillId="0" borderId="0" xfId="0" applyFont="1"/>
    <xf numFmtId="170" fontId="19" fillId="0" borderId="0" xfId="0" applyFont="1"/>
    <xf numFmtId="0" fontId="19" fillId="0" borderId="11" xfId="3" applyFont="1" applyBorder="1" applyAlignment="1">
      <alignment horizontal="left" vertical="center"/>
    </xf>
    <xf numFmtId="170" fontId="20" fillId="0" borderId="13" xfId="0" applyFont="1" applyBorder="1"/>
    <xf numFmtId="170" fontId="19" fillId="0" borderId="13" xfId="0" applyFont="1" applyBorder="1"/>
    <xf numFmtId="170" fontId="0" fillId="0" borderId="13" xfId="0" applyBorder="1"/>
    <xf numFmtId="0" fontId="19" fillId="0" borderId="14" xfId="3" applyFont="1" applyBorder="1" applyAlignment="1">
      <alignment horizontal="left" vertical="center"/>
    </xf>
    <xf numFmtId="170" fontId="15" fillId="0" borderId="0" xfId="0" applyFont="1" applyAlignment="1">
      <alignment horizontal="centerContinuous"/>
    </xf>
    <xf numFmtId="170" fontId="4" fillId="0" borderId="0" xfId="0" quotePrefix="1" applyFont="1"/>
    <xf numFmtId="170" fontId="12" fillId="0" borderId="0" xfId="0" applyFont="1" applyAlignment="1">
      <alignment horizontal="left"/>
    </xf>
    <xf numFmtId="170" fontId="12" fillId="0" borderId="0" xfId="0" applyFont="1" applyAlignment="1">
      <alignment horizontal="centerContinuous"/>
    </xf>
    <xf numFmtId="170" fontId="21" fillId="0" borderId="0" xfId="0" applyFont="1" applyAlignment="1">
      <alignment horizontal="centerContinuous"/>
    </xf>
    <xf numFmtId="170" fontId="21" fillId="0" borderId="0" xfId="0" applyFont="1" applyAlignment="1">
      <alignment horizontal="left"/>
    </xf>
    <xf numFmtId="170" fontId="23" fillId="0" borderId="0" xfId="0" applyFont="1"/>
    <xf numFmtId="169" fontId="0" fillId="0" borderId="0" xfId="0" applyNumberFormat="1"/>
    <xf numFmtId="170" fontId="0" fillId="2" borderId="0" xfId="0" applyFill="1"/>
    <xf numFmtId="170" fontId="23" fillId="2" borderId="0" xfId="0" applyFont="1" applyFill="1"/>
    <xf numFmtId="170" fontId="0" fillId="0" borderId="0" xfId="0" applyAlignment="1">
      <alignment horizontal="right"/>
    </xf>
    <xf numFmtId="168" fontId="22" fillId="0" borderId="0" xfId="0" applyNumberFormat="1" applyFont="1"/>
    <xf numFmtId="169" fontId="22" fillId="0" borderId="0" xfId="0" applyNumberFormat="1" applyFont="1"/>
    <xf numFmtId="170" fontId="25" fillId="2" borderId="0" xfId="0" applyFont="1" applyFill="1"/>
    <xf numFmtId="170" fontId="25" fillId="0" borderId="0" xfId="0" applyFont="1"/>
    <xf numFmtId="170" fontId="27" fillId="4" borderId="17" xfId="6"/>
    <xf numFmtId="10" fontId="0" fillId="0" borderId="0" xfId="2" applyFont="1"/>
    <xf numFmtId="171" fontId="0" fillId="0" borderId="0" xfId="7" applyFont="1"/>
    <xf numFmtId="170" fontId="0" fillId="0" borderId="18" xfId="8" applyFont="1"/>
    <xf numFmtId="170" fontId="29" fillId="0" borderId="4" xfId="9"/>
    <xf numFmtId="170" fontId="30" fillId="0" borderId="1" xfId="10"/>
    <xf numFmtId="170" fontId="31" fillId="0" borderId="0" xfId="0" applyFont="1"/>
    <xf numFmtId="170" fontId="32" fillId="0" borderId="0" xfId="4" applyNumberFormat="1"/>
    <xf numFmtId="170" fontId="30" fillId="0" borderId="1" xfId="10" applyNumberFormat="1"/>
    <xf numFmtId="0" fontId="0" fillId="0" borderId="0" xfId="0" applyNumberFormat="1"/>
    <xf numFmtId="170" fontId="32" fillId="0" borderId="4" xfId="4" applyNumberFormat="1" applyBorder="1"/>
    <xf numFmtId="170" fontId="32" fillId="0" borderId="1" xfId="4" applyNumberFormat="1" applyBorder="1"/>
    <xf numFmtId="10" fontId="27" fillId="4" borderId="17" xfId="2" applyFont="1" applyFill="1" applyBorder="1"/>
    <xf numFmtId="170" fontId="33" fillId="0" borderId="0" xfId="4" applyNumberFormat="1" applyFont="1"/>
    <xf numFmtId="10" fontId="25" fillId="0" borderId="0" xfId="2" applyFont="1"/>
    <xf numFmtId="10" fontId="0" fillId="0" borderId="18" xfId="2" applyFont="1" applyBorder="1"/>
    <xf numFmtId="10" fontId="27" fillId="4" borderId="17" xfId="6" applyNumberFormat="1"/>
    <xf numFmtId="171" fontId="27" fillId="4" borderId="17" xfId="7" applyFont="1" applyFill="1" applyBorder="1" applyAlignment="1">
      <alignment horizontal="left"/>
    </xf>
    <xf numFmtId="170" fontId="0" fillId="0" borderId="19" xfId="0" applyBorder="1"/>
    <xf numFmtId="170" fontId="27" fillId="4" borderId="20" xfId="6" applyNumberFormat="1" applyBorder="1"/>
    <xf numFmtId="170" fontId="0" fillId="0" borderId="21" xfId="0" applyBorder="1"/>
    <xf numFmtId="170" fontId="32" fillId="0" borderId="22" xfId="4" applyNumberFormat="1" applyBorder="1"/>
    <xf numFmtId="170" fontId="0" fillId="0" borderId="23" xfId="0" applyBorder="1"/>
    <xf numFmtId="170" fontId="32" fillId="0" borderId="24" xfId="4" applyNumberFormat="1" applyBorder="1"/>
    <xf numFmtId="170" fontId="5" fillId="0" borderId="25" xfId="5" applyNumberFormat="1"/>
    <xf numFmtId="170" fontId="25" fillId="0" borderId="3" xfId="11"/>
    <xf numFmtId="170" fontId="25" fillId="0" borderId="18" xfId="8" applyFont="1"/>
    <xf numFmtId="170" fontId="34" fillId="0" borderId="1" xfId="10" applyFont="1"/>
    <xf numFmtId="170" fontId="34" fillId="0" borderId="1" xfId="10" applyNumberFormat="1" applyFont="1"/>
    <xf numFmtId="10" fontId="0" fillId="0" borderId="18" xfId="8" applyNumberFormat="1" applyFont="1"/>
    <xf numFmtId="170" fontId="31" fillId="0" borderId="0" xfId="0" applyFont="1" applyAlignment="1">
      <alignment horizontal="right"/>
    </xf>
    <xf numFmtId="170" fontId="35" fillId="0" borderId="0" xfId="0" applyFont="1"/>
    <xf numFmtId="171" fontId="0" fillId="0" borderId="18" xfId="7" applyFont="1" applyBorder="1" applyAlignment="1">
      <alignment horizontal="left"/>
    </xf>
    <xf numFmtId="170" fontId="32" fillId="0" borderId="3" xfId="4" applyNumberFormat="1" applyBorder="1"/>
    <xf numFmtId="170" fontId="0" fillId="0" borderId="3" xfId="0" applyBorder="1"/>
    <xf numFmtId="10" fontId="0" fillId="0" borderId="3" xfId="2" applyFont="1" applyBorder="1"/>
    <xf numFmtId="10" fontId="0" fillId="0" borderId="26" xfId="2" applyFont="1" applyBorder="1"/>
    <xf numFmtId="170" fontId="32" fillId="0" borderId="0" xfId="4" applyNumberFormat="1" applyBorder="1"/>
    <xf numFmtId="170" fontId="0" fillId="0" borderId="0" xfId="0" applyBorder="1"/>
    <xf numFmtId="170" fontId="0" fillId="0" borderId="22" xfId="0" applyBorder="1"/>
    <xf numFmtId="10" fontId="0" fillId="0" borderId="0" xfId="2" applyFont="1" applyBorder="1"/>
    <xf numFmtId="10" fontId="0" fillId="0" borderId="22" xfId="2" applyFont="1" applyBorder="1"/>
    <xf numFmtId="170" fontId="0" fillId="0" borderId="1" xfId="0" applyBorder="1"/>
    <xf numFmtId="10" fontId="0" fillId="0" borderId="1" xfId="2" applyFont="1" applyBorder="1"/>
    <xf numFmtId="10" fontId="0" fillId="0" borderId="24" xfId="2" applyFont="1" applyBorder="1"/>
    <xf numFmtId="0" fontId="25" fillId="0" borderId="0" xfId="0" applyNumberFormat="1" applyFont="1"/>
    <xf numFmtId="0" fontId="0" fillId="0" borderId="0" xfId="0" applyNumberFormat="1" applyAlignment="1">
      <alignment horizontal="left"/>
    </xf>
    <xf numFmtId="170" fontId="3" fillId="0" borderId="0" xfId="0" quotePrefix="1" applyFont="1"/>
    <xf numFmtId="169" fontId="32" fillId="0" borderId="0" xfId="4" applyNumberFormat="1"/>
    <xf numFmtId="170" fontId="36" fillId="0" borderId="0" xfId="0" applyFont="1"/>
    <xf numFmtId="10" fontId="36" fillId="0" borderId="0" xfId="2" applyFont="1"/>
    <xf numFmtId="171" fontId="36" fillId="0" borderId="0" xfId="7" applyFont="1"/>
    <xf numFmtId="170" fontId="32" fillId="0" borderId="0" xfId="4" applyNumberFormat="1" applyAlignment="1">
      <alignment wrapText="1"/>
    </xf>
    <xf numFmtId="170" fontId="36" fillId="0" borderId="3" xfId="0" applyFont="1" applyBorder="1"/>
    <xf numFmtId="170" fontId="37" fillId="0" borderId="3" xfId="4" applyNumberFormat="1" applyFont="1" applyBorder="1"/>
    <xf numFmtId="10" fontId="36" fillId="0" borderId="3" xfId="2" applyFont="1" applyBorder="1"/>
    <xf numFmtId="10" fontId="36" fillId="0" borderId="26" xfId="2" applyFont="1" applyBorder="1"/>
    <xf numFmtId="170" fontId="25" fillId="0" borderId="21" xfId="0" applyFont="1" applyBorder="1"/>
    <xf numFmtId="170" fontId="36" fillId="0" borderId="0" xfId="0" applyFont="1" applyBorder="1"/>
    <xf numFmtId="170" fontId="37" fillId="0" borderId="0" xfId="4" applyNumberFormat="1" applyFont="1" applyBorder="1"/>
    <xf numFmtId="170" fontId="36" fillId="0" borderId="22" xfId="0" applyFont="1" applyBorder="1"/>
    <xf numFmtId="10" fontId="36" fillId="0" borderId="0" xfId="2" applyFont="1" applyBorder="1"/>
    <xf numFmtId="10" fontId="36" fillId="0" borderId="22" xfId="2" applyFont="1" applyBorder="1"/>
    <xf numFmtId="171" fontId="36" fillId="0" borderId="0" xfId="7" applyFont="1" applyBorder="1"/>
    <xf numFmtId="171" fontId="36" fillId="0" borderId="22" xfId="7" applyFont="1" applyBorder="1"/>
    <xf numFmtId="170" fontId="36" fillId="0" borderId="1" xfId="0" applyFont="1" applyBorder="1"/>
    <xf numFmtId="170" fontId="37" fillId="0" borderId="1" xfId="4" applyNumberFormat="1" applyFont="1" applyBorder="1"/>
    <xf numFmtId="170" fontId="36" fillId="0" borderId="24" xfId="0" applyFont="1" applyBorder="1"/>
    <xf numFmtId="165" fontId="3" fillId="0" borderId="0" xfId="1" applyNumberFormat="1" applyFont="1" applyBorder="1" applyProtection="1"/>
    <xf numFmtId="165" fontId="21" fillId="0" borderId="0" xfId="0" applyNumberFormat="1" applyFont="1" applyAlignment="1">
      <alignment horizontal="centerContinuous"/>
    </xf>
    <xf numFmtId="165" fontId="12" fillId="0" borderId="0" xfId="0" applyNumberFormat="1" applyFont="1" applyAlignment="1">
      <alignment horizontal="centerContinuous"/>
    </xf>
    <xf numFmtId="165" fontId="12" fillId="0" borderId="4" xfId="0" applyNumberFormat="1" applyFont="1" applyBorder="1" applyAlignment="1">
      <alignment horizontal="centerContinuous"/>
    </xf>
    <xf numFmtId="165" fontId="3" fillId="0" borderId="0" xfId="0" applyNumberFormat="1" applyFont="1"/>
    <xf numFmtId="165" fontId="16" fillId="0" borderId="0" xfId="0" quotePrefix="1" applyNumberFormat="1" applyFont="1" applyAlignment="1">
      <alignment horizontal="right"/>
    </xf>
    <xf numFmtId="165" fontId="16" fillId="0" borderId="0" xfId="0" applyNumberFormat="1" applyFont="1"/>
    <xf numFmtId="165" fontId="20" fillId="0" borderId="13" xfId="0" applyNumberFormat="1" applyFont="1" applyBorder="1"/>
    <xf numFmtId="165" fontId="19" fillId="0" borderId="13" xfId="0" applyNumberFormat="1" applyFont="1" applyBorder="1"/>
    <xf numFmtId="165" fontId="19" fillId="0" borderId="12" xfId="0" applyNumberFormat="1" applyFont="1" applyBorder="1"/>
    <xf numFmtId="165" fontId="19" fillId="0" borderId="0" xfId="0" applyNumberFormat="1" applyFont="1"/>
    <xf numFmtId="165" fontId="19" fillId="0" borderId="10" xfId="0" applyNumberFormat="1" applyFont="1" applyBorder="1"/>
    <xf numFmtId="165" fontId="19" fillId="0" borderId="8" xfId="0" applyNumberFormat="1" applyFont="1" applyBorder="1"/>
    <xf numFmtId="165" fontId="19" fillId="0" borderId="7" xfId="0" applyNumberFormat="1" applyFont="1" applyBorder="1"/>
    <xf numFmtId="165" fontId="18" fillId="0" borderId="0" xfId="1" applyNumberFormat="1" applyFont="1" applyFill="1" applyBorder="1" applyAlignment="1" applyProtection="1">
      <alignment horizontal="right"/>
      <protection locked="0"/>
    </xf>
    <xf numFmtId="165" fontId="9" fillId="0" borderId="0" xfId="0" applyNumberFormat="1" applyFont="1"/>
    <xf numFmtId="165" fontId="6" fillId="0" borderId="0" xfId="1" applyNumberFormat="1" applyFont="1" applyFill="1" applyBorder="1" applyAlignment="1" applyProtection="1">
      <alignment horizontal="right"/>
      <protection locked="0"/>
    </xf>
    <xf numFmtId="165" fontId="6" fillId="0" borderId="1" xfId="1" applyNumberFormat="1" applyFont="1" applyFill="1" applyBorder="1" applyAlignment="1" applyProtection="1">
      <alignment horizontal="right"/>
      <protection locked="0"/>
    </xf>
    <xf numFmtId="165" fontId="5" fillId="0" borderId="0" xfId="1" applyNumberFormat="1" applyFont="1" applyFill="1" applyBorder="1" applyAlignment="1" applyProtection="1">
      <alignment horizontal="right"/>
    </xf>
    <xf numFmtId="165" fontId="5" fillId="0" borderId="0" xfId="1" applyNumberFormat="1" applyFont="1" applyFill="1" applyBorder="1" applyProtection="1"/>
    <xf numFmtId="165" fontId="0" fillId="0" borderId="0" xfId="0" applyNumberFormat="1"/>
    <xf numFmtId="165" fontId="6" fillId="0" borderId="1" xfId="1" applyNumberFormat="1" applyFont="1" applyFill="1" applyBorder="1" applyProtection="1">
      <protection locked="0"/>
    </xf>
    <xf numFmtId="165" fontId="6" fillId="0" borderId="0" xfId="1" applyNumberFormat="1" applyFont="1" applyFill="1" applyBorder="1" applyProtection="1">
      <protection locked="0"/>
    </xf>
    <xf numFmtId="165" fontId="5" fillId="0" borderId="6" xfId="1" applyNumberFormat="1" applyFont="1" applyFill="1" applyBorder="1" applyAlignment="1" applyProtection="1">
      <alignment horizontal="right"/>
    </xf>
    <xf numFmtId="165" fontId="5" fillId="0" borderId="5" xfId="1" applyNumberFormat="1" applyFont="1" applyFill="1" applyBorder="1" applyAlignment="1" applyProtection="1">
      <alignment horizontal="right"/>
    </xf>
    <xf numFmtId="165" fontId="3" fillId="0" borderId="0" xfId="0" applyNumberFormat="1" applyFont="1" applyAlignment="1">
      <alignment horizontal="centerContinuous"/>
    </xf>
    <xf numFmtId="165" fontId="3" fillId="0" borderId="4" xfId="0" applyNumberFormat="1" applyFont="1" applyBorder="1" applyAlignment="1">
      <alignment horizontal="centerContinuous"/>
    </xf>
    <xf numFmtId="165" fontId="8" fillId="0" borderId="0" xfId="1" applyNumberFormat="1" applyFont="1" applyFill="1" applyProtection="1">
      <protection locked="0"/>
    </xf>
    <xf numFmtId="165" fontId="8" fillId="0" borderId="1" xfId="1" applyNumberFormat="1" applyFont="1" applyFill="1" applyBorder="1" applyAlignment="1" applyProtection="1">
      <alignment horizontal="right"/>
      <protection locked="0"/>
    </xf>
    <xf numFmtId="165" fontId="5" fillId="0" borderId="0" xfId="1" applyNumberFormat="1" applyFont="1" applyFill="1" applyProtection="1">
      <protection locked="0"/>
    </xf>
    <xf numFmtId="165" fontId="6" fillId="0" borderId="0" xfId="1" applyNumberFormat="1" applyFont="1" applyFill="1" applyProtection="1">
      <protection locked="0"/>
    </xf>
    <xf numFmtId="165" fontId="0" fillId="0" borderId="0" xfId="1" applyNumberFormat="1" applyFont="1" applyFill="1" applyBorder="1" applyProtection="1"/>
    <xf numFmtId="165" fontId="0" fillId="0" borderId="0" xfId="1" applyNumberFormat="1" applyFont="1" applyFill="1" applyProtection="1"/>
    <xf numFmtId="165" fontId="0" fillId="0" borderId="1" xfId="1" applyNumberFormat="1" applyFont="1" applyFill="1" applyBorder="1" applyProtection="1"/>
    <xf numFmtId="165" fontId="5" fillId="0" borderId="0" xfId="1" applyNumberFormat="1" applyFont="1" applyFill="1" applyProtection="1"/>
    <xf numFmtId="165" fontId="11" fillId="0" borderId="0" xfId="0" applyNumberFormat="1" applyFont="1" applyAlignment="1">
      <alignment horizontal="centerContinuous"/>
    </xf>
    <xf numFmtId="165" fontId="0" fillId="0" borderId="3" xfId="1" applyNumberFormat="1" applyFont="1" applyFill="1" applyBorder="1" applyProtection="1"/>
    <xf numFmtId="165" fontId="5" fillId="0" borderId="2" xfId="1" applyNumberFormat="1" applyFont="1" applyFill="1" applyBorder="1" applyProtection="1"/>
    <xf numFmtId="165" fontId="8" fillId="0" borderId="0" xfId="1" applyNumberFormat="1" applyFont="1" applyFill="1" applyBorder="1" applyProtection="1">
      <protection locked="0"/>
    </xf>
    <xf numFmtId="165" fontId="3" fillId="0" borderId="0" xfId="1" applyNumberFormat="1" applyFont="1" applyFill="1" applyBorder="1" applyProtection="1"/>
    <xf numFmtId="0" fontId="16" fillId="0" borderId="0" xfId="0" quotePrefix="1" applyNumberFormat="1" applyFont="1" applyAlignment="1">
      <alignment horizontal="right"/>
    </xf>
    <xf numFmtId="172" fontId="3" fillId="0" borderId="0" xfId="0" applyNumberFormat="1" applyFont="1"/>
    <xf numFmtId="170" fontId="32" fillId="0" borderId="19" xfId="4" applyNumberFormat="1" applyBorder="1"/>
    <xf numFmtId="170" fontId="32" fillId="0" borderId="21" xfId="4" applyNumberFormat="1" applyBorder="1"/>
    <xf numFmtId="170" fontId="32" fillId="0" borderId="23" xfId="4" applyNumberFormat="1" applyBorder="1" applyAlignment="1">
      <alignment wrapText="1"/>
    </xf>
    <xf numFmtId="170" fontId="26" fillId="3" borderId="15" xfId="0" applyFont="1" applyFill="1" applyBorder="1" applyAlignment="1">
      <alignment horizontal="center"/>
    </xf>
    <xf numFmtId="170" fontId="26" fillId="3" borderId="16" xfId="0" applyFont="1" applyFill="1" applyBorder="1" applyAlignment="1">
      <alignment horizontal="center"/>
    </xf>
  </cellXfs>
  <cellStyles count="12">
    <cellStyle name="Comma" xfId="1" builtinId="3"/>
    <cellStyle name="Explanatory Text" xfId="4" builtinId="53" customBuiltin="1"/>
    <cellStyle name="Head 1" xfId="9" xr:uid="{FD4DF67D-BEA6-4525-8DED-EB2AC9FDCB51}"/>
    <cellStyle name="Head 2" xfId="10" xr:uid="{16F41389-3380-442E-9B7D-22CF0A1DEA3F}"/>
    <cellStyle name="Inp" xfId="6" xr:uid="{5F7D14D7-6469-4376-9522-322461501C64}"/>
    <cellStyle name="Links" xfId="8" xr:uid="{77A6F9F1-8F9A-47A1-AB12-456BD5DF328B}"/>
    <cellStyle name="Multiples" xfId="7" xr:uid="{8BE4F1CE-53AE-4E44-825C-C766CCBD1F44}"/>
    <cellStyle name="Normal" xfId="0" builtinId="0" customBuiltin="1"/>
    <cellStyle name="Normal_TrainingDCF1" xfId="3" xr:uid="{99AB8741-91A2-4BB8-85E5-E0130DABE1FB}"/>
    <cellStyle name="Percent" xfId="2" builtinId="5" customBuiltin="1"/>
    <cellStyle name="SubTotal" xfId="11" xr:uid="{B88FDB29-52ED-495D-8CE8-F67BC66D5A99}"/>
    <cellStyle name="Total" xfId="5" builtinId="25" customBuiltin="1"/>
  </cellStyles>
  <dxfs count="0"/>
  <tableStyles count="0" defaultTableStyle="TableStyleMedium2" defaultPivotStyle="PivotStyleLight16"/>
  <colors>
    <mruColors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31" fmlaLink="S_Scenarios" fmlaRange="L_Scenarios" noThreeD="1" sel="1" val="0"/>
</file>

<file path=xl/ctrlProps/ctrlProp2.xml><?xml version="1.0" encoding="utf-8"?>
<formControlPr xmlns="http://schemas.microsoft.com/office/spreadsheetml/2009/9/main" objectType="Drop" dropStyle="combo" dx="31" fmlaLink="S_Scenarios" fmlaRange="L_Scenarios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526694</xdr:colOff>
          <xdr:row>1</xdr:row>
          <xdr:rowOff>21946</xdr:rowOff>
        </xdr:from>
        <xdr:to>
          <xdr:col>15</xdr:col>
          <xdr:colOff>555955</xdr:colOff>
          <xdr:row>1</xdr:row>
          <xdr:rowOff>248717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14630</xdr:rowOff>
        </xdr:from>
        <xdr:to>
          <xdr:col>5</xdr:col>
          <xdr:colOff>29261</xdr:colOff>
          <xdr:row>12</xdr:row>
          <xdr:rowOff>58522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0857-1390-4F67-B222-1ACF1A210F91}">
  <sheetPr>
    <pageSetUpPr fitToPage="1"/>
  </sheetPr>
  <dimension ref="C1:D53"/>
  <sheetViews>
    <sheetView showGridLines="0" tabSelected="1" topLeftCell="A6" workbookViewId="0">
      <selection activeCell="D17" sqref="D17"/>
    </sheetView>
  </sheetViews>
  <sheetFormatPr defaultColWidth="8.6328125" defaultRowHeight="12.55" customHeight="1" x14ac:dyDescent="0.25"/>
  <cols>
    <col min="1" max="2" width="8" customWidth="1"/>
    <col min="3" max="3" width="30.54296875" customWidth="1"/>
    <col min="4" max="4" width="8.36328125" customWidth="1"/>
    <col min="5" max="5" width="8.6328125" customWidth="1"/>
    <col min="6" max="6" width="8" bestFit="1" customWidth="1"/>
  </cols>
  <sheetData>
    <row r="1" spans="3:4" ht="13.85" x14ac:dyDescent="0.25"/>
    <row r="2" spans="3:4" ht="13.85" x14ac:dyDescent="0.25"/>
    <row r="3" spans="3:4" ht="13.85" x14ac:dyDescent="0.25"/>
    <row r="4" spans="3:4" ht="13.85" x14ac:dyDescent="0.25"/>
    <row r="5" spans="3:4" ht="13.85" x14ac:dyDescent="0.25"/>
    <row r="6" spans="3:4" ht="13.85" x14ac:dyDescent="0.25"/>
    <row r="7" spans="3:4" ht="26.5" x14ac:dyDescent="0.55000000000000004">
      <c r="C7" s="46" t="str">
        <f>Hist!B1</f>
        <v>FED Manufacturing</v>
      </c>
    </row>
    <row r="8" spans="3:4" ht="13.85" x14ac:dyDescent="0.25">
      <c r="C8" t="str">
        <f>"Financial Model for "&amp;Hist!I6+1&amp;" to "&amp;Hist!I6+5</f>
        <v>Financial Model for 2025 to 2029</v>
      </c>
    </row>
    <row r="9" spans="3:4" ht="13.85" x14ac:dyDescent="0.25"/>
    <row r="10" spans="3:4" ht="13.85" x14ac:dyDescent="0.25"/>
    <row r="11" spans="3:4" ht="13.85" x14ac:dyDescent="0.25">
      <c r="C11" t="s">
        <v>68</v>
      </c>
      <c r="D11" t="s">
        <v>271</v>
      </c>
    </row>
    <row r="12" spans="3:4" ht="13.85" x14ac:dyDescent="0.25">
      <c r="C12" t="s">
        <v>69</v>
      </c>
      <c r="D12" t="s">
        <v>70</v>
      </c>
    </row>
    <row r="13" spans="3:4" ht="13.85" x14ac:dyDescent="0.25">
      <c r="C13" t="s">
        <v>71</v>
      </c>
      <c r="D13" t="str">
        <f>"Currently "&amp;S_Circularity&amp;" in the Net Interest Expense Line of the P&amp;L"</f>
        <v>Currently OFF in the Net Interest Expense Line of the P&amp;L</v>
      </c>
    </row>
    <row r="14" spans="3:4" ht="13.85" x14ac:dyDescent="0.25">
      <c r="C14" t="s">
        <v>72</v>
      </c>
      <c r="D14" s="101">
        <f>Hist!I6</f>
        <v>2024</v>
      </c>
    </row>
    <row r="15" spans="3:4" ht="13.85" x14ac:dyDescent="0.25">
      <c r="C15" t="s">
        <v>233</v>
      </c>
      <c r="D15" s="55" t="s">
        <v>251</v>
      </c>
    </row>
    <row r="16" spans="3:4" ht="13.85" x14ac:dyDescent="0.25"/>
    <row r="17" ht="13.85" x14ac:dyDescent="0.25"/>
    <row r="18" ht="13.85" x14ac:dyDescent="0.25"/>
    <row r="19" ht="13.85" x14ac:dyDescent="0.25"/>
    <row r="20" ht="13.85" x14ac:dyDescent="0.25"/>
    <row r="21" ht="13.85" x14ac:dyDescent="0.25"/>
    <row r="22" ht="13.85" x14ac:dyDescent="0.25"/>
    <row r="23" ht="13.85" x14ac:dyDescent="0.25"/>
    <row r="24" ht="13.85" x14ac:dyDescent="0.25"/>
    <row r="25" ht="13.85" x14ac:dyDescent="0.25"/>
    <row r="26" ht="13.85" x14ac:dyDescent="0.25"/>
    <row r="27" ht="13.85" x14ac:dyDescent="0.25"/>
    <row r="28" ht="13.85" x14ac:dyDescent="0.25"/>
    <row r="29" ht="13.85" x14ac:dyDescent="0.25"/>
    <row r="30" ht="13.85" x14ac:dyDescent="0.25"/>
    <row r="31" ht="13.85" x14ac:dyDescent="0.25"/>
    <row r="32" ht="13.85" x14ac:dyDescent="0.25"/>
    <row r="33" ht="13.85" x14ac:dyDescent="0.25"/>
    <row r="34" ht="13.85" x14ac:dyDescent="0.25"/>
    <row r="35" ht="13.85" x14ac:dyDescent="0.25"/>
    <row r="36" ht="13.85" x14ac:dyDescent="0.25"/>
    <row r="37" ht="13.85" x14ac:dyDescent="0.25"/>
    <row r="38" ht="13.85" x14ac:dyDescent="0.25"/>
    <row r="39" ht="13.85" x14ac:dyDescent="0.25"/>
    <row r="40" ht="13.85" x14ac:dyDescent="0.25"/>
    <row r="41" ht="13.85" x14ac:dyDescent="0.25"/>
    <row r="42" ht="13.85" x14ac:dyDescent="0.25"/>
    <row r="43" ht="13.85" x14ac:dyDescent="0.25"/>
    <row r="44" ht="13.85" x14ac:dyDescent="0.25"/>
    <row r="45" ht="13.85" x14ac:dyDescent="0.25"/>
    <row r="46" ht="13.85" x14ac:dyDescent="0.25"/>
    <row r="47" ht="13.85" x14ac:dyDescent="0.25"/>
    <row r="48" ht="13.85" x14ac:dyDescent="0.25"/>
    <row r="49" ht="13.85" x14ac:dyDescent="0.25"/>
    <row r="50" ht="13.85" x14ac:dyDescent="0.25"/>
    <row r="51" ht="13.85" x14ac:dyDescent="0.25"/>
    <row r="52" ht="13.85" x14ac:dyDescent="0.25"/>
    <row r="53" ht="13.85" x14ac:dyDescent="0.25"/>
  </sheetData>
  <dataValidations count="1">
    <dataValidation type="list" allowBlank="1" showInputMessage="1" showErrorMessage="1" sqref="D15" xr:uid="{E72C833C-2751-4AD4-A161-1D10093C3AB8}">
      <formula1>"ON,OFF"</formula1>
    </dataValidation>
  </dataValidations>
  <pageMargins left="0.70866141732283505" right="0.70866141732283505" top="0.74803149606299202" bottom="0.74803149606299202" header="0.31496062992126" footer="0.31496062992126"/>
  <pageSetup fitToHeight="0" orientation="landscape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8FDA-B3B0-4461-969E-6FA3DD638C18}">
  <sheetPr>
    <pageSetUpPr fitToPage="1"/>
  </sheetPr>
  <dimension ref="A1:J119"/>
  <sheetViews>
    <sheetView showGridLines="0" zoomScale="94" workbookViewId="0"/>
  </sheetViews>
  <sheetFormatPr defaultRowHeight="13.85" x14ac:dyDescent="0.25"/>
  <cols>
    <col min="1" max="1" width="2.453125" style="1" customWidth="1"/>
    <col min="2" max="2" width="1.81640625" style="1" customWidth="1"/>
    <col min="3" max="3" width="2.453125" style="1" customWidth="1"/>
    <col min="4" max="4" width="40" style="1" customWidth="1"/>
    <col min="5" max="5" width="5.36328125" style="1" customWidth="1"/>
    <col min="6" max="6" width="1.81640625" style="1" customWidth="1"/>
    <col min="7" max="9" width="12.453125" style="127" customWidth="1"/>
  </cols>
  <sheetData>
    <row r="1" spans="1:9" ht="22.5" x14ac:dyDescent="0.4">
      <c r="A1" s="45"/>
      <c r="B1" s="19" t="s">
        <v>138</v>
      </c>
      <c r="C1" s="44"/>
      <c r="D1" s="44"/>
      <c r="E1" s="44"/>
      <c r="F1" s="44"/>
      <c r="G1" s="124"/>
      <c r="H1" s="124"/>
      <c r="I1" s="124"/>
    </row>
    <row r="2" spans="1:9" ht="17.850000000000001" x14ac:dyDescent="0.35">
      <c r="A2" s="42"/>
      <c r="B2" s="18" t="s">
        <v>66</v>
      </c>
      <c r="C2" s="43"/>
      <c r="D2" s="43"/>
      <c r="E2" s="43"/>
      <c r="F2" s="43"/>
      <c r="G2" s="125"/>
      <c r="H2" s="125"/>
      <c r="I2" s="125"/>
    </row>
    <row r="3" spans="1:9" ht="17.850000000000001" thickBot="1" x14ac:dyDescent="0.35">
      <c r="A3" s="42"/>
      <c r="B3" s="16"/>
      <c r="C3" s="16"/>
      <c r="D3" s="16"/>
      <c r="E3" s="16"/>
      <c r="F3" s="16"/>
      <c r="G3" s="126"/>
      <c r="H3" s="126"/>
      <c r="I3" s="126"/>
    </row>
    <row r="4" spans="1:9" x14ac:dyDescent="0.25">
      <c r="B4" s="41" t="s">
        <v>25</v>
      </c>
    </row>
    <row r="5" spans="1:9" x14ac:dyDescent="0.25">
      <c r="F5" s="40"/>
    </row>
    <row r="6" spans="1:9" x14ac:dyDescent="0.25">
      <c r="F6" s="28"/>
      <c r="G6" s="163">
        <v>2022</v>
      </c>
      <c r="H6" s="163">
        <v>2023</v>
      </c>
      <c r="I6" s="163">
        <v>2024</v>
      </c>
    </row>
    <row r="7" spans="1:9" x14ac:dyDescent="0.25">
      <c r="F7" s="28"/>
      <c r="G7" s="129"/>
      <c r="H7" s="129"/>
      <c r="I7" s="129"/>
    </row>
    <row r="8" spans="1:9" x14ac:dyDescent="0.25">
      <c r="B8" s="39" t="s">
        <v>65</v>
      </c>
      <c r="C8" s="38"/>
      <c r="D8" s="37"/>
      <c r="E8" s="37"/>
      <c r="F8" s="36"/>
      <c r="G8" s="130"/>
      <c r="H8" s="131">
        <v>0.10350333427256508</v>
      </c>
      <c r="I8" s="132">
        <v>8.6390331092007777E-2</v>
      </c>
    </row>
    <row r="9" spans="1:9" x14ac:dyDescent="0.25">
      <c r="B9" s="35" t="s">
        <v>64</v>
      </c>
      <c r="C9"/>
      <c r="D9" s="34"/>
      <c r="E9" s="34"/>
      <c r="F9" s="33"/>
      <c r="G9" s="133">
        <v>0.71735387120002514</v>
      </c>
      <c r="H9" s="133">
        <v>0.72797684909353999</v>
      </c>
      <c r="I9" s="134">
        <v>0.72829833907865882</v>
      </c>
    </row>
    <row r="10" spans="1:9" x14ac:dyDescent="0.25">
      <c r="B10" s="32" t="s">
        <v>63</v>
      </c>
      <c r="C10" s="31"/>
      <c r="D10" s="30"/>
      <c r="E10" s="30"/>
      <c r="F10" s="29"/>
      <c r="G10" s="135">
        <v>0.1626123164584703</v>
      </c>
      <c r="H10" s="135">
        <v>0.15453797486310894</v>
      </c>
      <c r="I10" s="136">
        <v>0.1496134962916536</v>
      </c>
    </row>
    <row r="11" spans="1:9" x14ac:dyDescent="0.25">
      <c r="F11" s="28"/>
      <c r="G11" s="129"/>
      <c r="H11" s="129"/>
      <c r="I11" s="129"/>
    </row>
    <row r="12" spans="1:9" x14ac:dyDescent="0.25">
      <c r="B12" s="20"/>
      <c r="C12" s="11" t="s">
        <v>62</v>
      </c>
      <c r="D12" s="11"/>
      <c r="E12" s="11"/>
      <c r="F12" s="26"/>
      <c r="G12" s="137">
        <v>3194.1</v>
      </c>
      <c r="H12" s="137">
        <v>3524.7</v>
      </c>
      <c r="I12" s="137">
        <v>3829.2</v>
      </c>
    </row>
    <row r="13" spans="1:9" x14ac:dyDescent="0.25">
      <c r="C13"/>
      <c r="D13"/>
      <c r="E13"/>
      <c r="F13" s="26"/>
      <c r="G13" s="138"/>
      <c r="H13" s="138"/>
      <c r="I13" s="138"/>
    </row>
    <row r="14" spans="1:9" x14ac:dyDescent="0.25">
      <c r="C14" t="s">
        <v>61</v>
      </c>
      <c r="D14"/>
      <c r="E14"/>
      <c r="F14" s="26"/>
      <c r="G14" s="139">
        <v>2291.3000000000002</v>
      </c>
      <c r="H14" s="139">
        <v>2565.9</v>
      </c>
      <c r="I14" s="139">
        <v>2788.8</v>
      </c>
    </row>
    <row r="15" spans="1:9" x14ac:dyDescent="0.25">
      <c r="A15" s="27"/>
      <c r="C15" s="21" t="s">
        <v>60</v>
      </c>
      <c r="D15"/>
      <c r="E15"/>
      <c r="F15" s="26"/>
      <c r="G15" s="140">
        <v>519.4</v>
      </c>
      <c r="H15" s="140">
        <v>544.70000000000005</v>
      </c>
      <c r="I15" s="140">
        <v>572.9</v>
      </c>
    </row>
    <row r="16" spans="1:9" x14ac:dyDescent="0.25">
      <c r="C16" s="4" t="s">
        <v>59</v>
      </c>
      <c r="D16"/>
      <c r="E16"/>
      <c r="F16" s="26"/>
      <c r="G16" s="141">
        <f>SUM(G14:G15)</f>
        <v>2810.7000000000003</v>
      </c>
      <c r="H16" s="141">
        <f>SUM(H14:H15)</f>
        <v>3110.6000000000004</v>
      </c>
      <c r="I16" s="141">
        <f>SUM(I14:I15)</f>
        <v>3361.7000000000003</v>
      </c>
    </row>
    <row r="17" spans="2:9" x14ac:dyDescent="0.25">
      <c r="C17" s="4"/>
      <c r="D17"/>
      <c r="E17"/>
      <c r="F17" s="26"/>
      <c r="G17" s="138"/>
      <c r="H17" s="138"/>
      <c r="I17" s="138"/>
    </row>
    <row r="18" spans="2:9" x14ac:dyDescent="0.25">
      <c r="C18" t="s">
        <v>252</v>
      </c>
      <c r="D18"/>
      <c r="E18"/>
      <c r="F18" s="26"/>
      <c r="G18" s="140">
        <v>-7</v>
      </c>
      <c r="H18" s="140">
        <v>-4.1999999999999993</v>
      </c>
      <c r="I18" s="140">
        <v>2</v>
      </c>
    </row>
    <row r="19" spans="2:9" x14ac:dyDescent="0.25">
      <c r="B19" s="20"/>
      <c r="C19" s="11" t="s">
        <v>58</v>
      </c>
      <c r="D19"/>
      <c r="E19"/>
      <c r="F19"/>
      <c r="G19" s="142">
        <f>G12-G16-G18</f>
        <v>390.39999999999964</v>
      </c>
      <c r="H19" s="142">
        <f>H12-H16-H18</f>
        <v>418.29999999999944</v>
      </c>
      <c r="I19" s="142">
        <f>I12-I16-I18</f>
        <v>465.49999999999955</v>
      </c>
    </row>
    <row r="20" spans="2:9" x14ac:dyDescent="0.25">
      <c r="C20"/>
      <c r="D20"/>
      <c r="E20"/>
      <c r="F20"/>
      <c r="G20" s="143"/>
      <c r="H20" s="143"/>
      <c r="I20" s="143"/>
    </row>
    <row r="21" spans="2:9" x14ac:dyDescent="0.25">
      <c r="C21" t="s">
        <v>57</v>
      </c>
      <c r="D21"/>
      <c r="E21"/>
      <c r="F21"/>
      <c r="G21" s="144">
        <v>95.1</v>
      </c>
      <c r="H21" s="144">
        <v>113.2</v>
      </c>
      <c r="I21" s="144">
        <v>126.2</v>
      </c>
    </row>
    <row r="22" spans="2:9" x14ac:dyDescent="0.25">
      <c r="C22" s="4" t="s">
        <v>56</v>
      </c>
      <c r="D22"/>
      <c r="E22"/>
      <c r="F22"/>
      <c r="G22" s="142">
        <f>G19-G21</f>
        <v>295.29999999999961</v>
      </c>
      <c r="H22" s="142">
        <f>H19-H21</f>
        <v>305.09999999999945</v>
      </c>
      <c r="I22" s="142">
        <f>I19-I21</f>
        <v>339.29999999999956</v>
      </c>
    </row>
    <row r="23" spans="2:9" x14ac:dyDescent="0.25">
      <c r="C23" s="4"/>
      <c r="D23"/>
      <c r="E23"/>
      <c r="F23"/>
      <c r="G23" s="143"/>
      <c r="H23" s="143"/>
      <c r="I23" s="143"/>
    </row>
    <row r="24" spans="2:9" x14ac:dyDescent="0.25">
      <c r="C24" t="s">
        <v>252</v>
      </c>
      <c r="D24"/>
      <c r="E24"/>
      <c r="F24"/>
      <c r="G24" s="145">
        <v>59.9</v>
      </c>
      <c r="H24" s="145">
        <v>57</v>
      </c>
      <c r="I24" s="145">
        <v>51.6</v>
      </c>
    </row>
    <row r="25" spans="2:9" x14ac:dyDescent="0.25">
      <c r="C25" s="10" t="s">
        <v>55</v>
      </c>
      <c r="D25"/>
      <c r="E25"/>
      <c r="F25"/>
      <c r="G25" s="144">
        <v>62</v>
      </c>
      <c r="H25" s="144">
        <v>56.599999999999994</v>
      </c>
      <c r="I25" s="144">
        <v>59.1</v>
      </c>
    </row>
    <row r="26" spans="2:9" x14ac:dyDescent="0.25">
      <c r="C26" s="8" t="s">
        <v>54</v>
      </c>
      <c r="D26"/>
      <c r="E26"/>
      <c r="F26"/>
      <c r="G26" s="142">
        <f>G22-G24-G25</f>
        <v>173.39999999999961</v>
      </c>
      <c r="H26" s="142">
        <f>H22-H24-H25</f>
        <v>191.49999999999946</v>
      </c>
      <c r="I26" s="142">
        <f>I22-I24-I25</f>
        <v>228.59999999999954</v>
      </c>
    </row>
    <row r="27" spans="2:9" x14ac:dyDescent="0.25">
      <c r="C27" s="4"/>
      <c r="D27"/>
      <c r="E27"/>
      <c r="F27"/>
      <c r="G27" s="143"/>
      <c r="H27" s="143"/>
      <c r="I27" s="143"/>
    </row>
    <row r="28" spans="2:9" x14ac:dyDescent="0.25">
      <c r="C28" t="s">
        <v>53</v>
      </c>
      <c r="D28"/>
      <c r="E28"/>
      <c r="F28"/>
      <c r="G28" s="145">
        <v>47.805999999999912</v>
      </c>
      <c r="H28" s="145">
        <v>49.609999999999879</v>
      </c>
      <c r="I28" s="145">
        <v>59.443999999999896</v>
      </c>
    </row>
    <row r="29" spans="2:9" x14ac:dyDescent="0.25">
      <c r="C29" t="s">
        <v>45</v>
      </c>
      <c r="D29"/>
      <c r="E29"/>
      <c r="F29"/>
      <c r="G29" s="144">
        <v>16.899999999999999</v>
      </c>
      <c r="H29" s="144">
        <v>31.7</v>
      </c>
      <c r="I29" s="144">
        <v>23.999999999999996</v>
      </c>
    </row>
    <row r="30" spans="2:9" x14ac:dyDescent="0.25">
      <c r="C30" s="11" t="s">
        <v>52</v>
      </c>
      <c r="D30"/>
      <c r="E30"/>
      <c r="F30"/>
      <c r="G30" s="142">
        <f>SUM(G28:G29)</f>
        <v>64.705999999999904</v>
      </c>
      <c r="H30" s="142">
        <f>SUM(H28:H29)</f>
        <v>81.309999999999874</v>
      </c>
      <c r="I30" s="142">
        <f>SUM(I28:I29)</f>
        <v>83.443999999999889</v>
      </c>
    </row>
    <row r="31" spans="2:9" x14ac:dyDescent="0.25">
      <c r="C31"/>
      <c r="D31"/>
      <c r="E31"/>
      <c r="F31"/>
      <c r="G31" s="143"/>
      <c r="H31" s="143"/>
      <c r="I31" s="143"/>
    </row>
    <row r="32" spans="2:9" x14ac:dyDescent="0.25">
      <c r="C32" s="24" t="s">
        <v>47</v>
      </c>
      <c r="D32" s="11"/>
      <c r="E32" s="11"/>
      <c r="F32"/>
      <c r="G32" s="146">
        <f>G26-G30</f>
        <v>108.6939999999997</v>
      </c>
      <c r="H32" s="146">
        <f>H26-H30</f>
        <v>110.18999999999959</v>
      </c>
      <c r="I32" s="146">
        <f>I26-I30</f>
        <v>145.15599999999966</v>
      </c>
    </row>
    <row r="33" spans="2:9" x14ac:dyDescent="0.25">
      <c r="C33" s="24"/>
      <c r="D33" s="11"/>
      <c r="E33" s="11"/>
      <c r="F33"/>
      <c r="G33" s="141"/>
      <c r="H33" s="141"/>
      <c r="I33" s="141"/>
    </row>
    <row r="34" spans="2:9" x14ac:dyDescent="0.25">
      <c r="C34" s="25" t="s">
        <v>51</v>
      </c>
      <c r="D34" s="11"/>
      <c r="E34" s="11"/>
      <c r="F34"/>
      <c r="G34" s="144">
        <v>0.54400000000000004</v>
      </c>
      <c r="H34" s="144">
        <v>0.54400000000000004</v>
      </c>
      <c r="I34" s="144">
        <v>0.54400000000000004</v>
      </c>
    </row>
    <row r="35" spans="2:9" ht="14.4" thickBot="1" x14ac:dyDescent="0.3">
      <c r="C35" s="24" t="s">
        <v>50</v>
      </c>
      <c r="D35" s="11"/>
      <c r="E35" s="11"/>
      <c r="F35"/>
      <c r="G35" s="147">
        <f>G32-G34</f>
        <v>108.14999999999971</v>
      </c>
      <c r="H35" s="147">
        <f>H32-H34</f>
        <v>109.64599999999959</v>
      </c>
      <c r="I35" s="147">
        <f>I32-I34</f>
        <v>144.61199999999965</v>
      </c>
    </row>
    <row r="36" spans="2:9" ht="14.4" thickTop="1" x14ac:dyDescent="0.25"/>
    <row r="37" spans="2:9" ht="22.5" x14ac:dyDescent="0.4">
      <c r="B37" s="19" t="s">
        <v>67</v>
      </c>
      <c r="C37" s="17"/>
      <c r="D37" s="17"/>
      <c r="E37" s="17"/>
      <c r="F37" s="17"/>
      <c r="G37" s="148"/>
      <c r="H37" s="148"/>
      <c r="I37" s="148"/>
    </row>
    <row r="38" spans="2:9" ht="17.850000000000001" x14ac:dyDescent="0.35">
      <c r="B38" s="18" t="s">
        <v>49</v>
      </c>
      <c r="C38" s="17"/>
      <c r="D38" s="17"/>
      <c r="E38" s="17"/>
      <c r="F38" s="17"/>
      <c r="G38" s="148"/>
      <c r="H38" s="148"/>
      <c r="I38" s="148"/>
    </row>
    <row r="39" spans="2:9" ht="17.850000000000001" thickBot="1" x14ac:dyDescent="0.35">
      <c r="B39" s="16"/>
      <c r="C39" s="15"/>
      <c r="D39" s="15"/>
      <c r="E39" s="15"/>
      <c r="F39" s="15"/>
      <c r="G39" s="149"/>
      <c r="H39" s="149"/>
      <c r="I39" s="149"/>
    </row>
    <row r="40" spans="2:9" x14ac:dyDescent="0.25">
      <c r="B40" s="14" t="s">
        <v>25</v>
      </c>
    </row>
    <row r="41" spans="2:9" x14ac:dyDescent="0.25">
      <c r="B41" s="23"/>
      <c r="F41" s="22"/>
      <c r="G41" s="163">
        <v>2022</v>
      </c>
      <c r="H41" s="163">
        <v>2023</v>
      </c>
      <c r="I41" s="163">
        <v>2024</v>
      </c>
    </row>
    <row r="42" spans="2:9" x14ac:dyDescent="0.25">
      <c r="B42" s="23"/>
      <c r="F42" s="22"/>
      <c r="G42" s="128"/>
      <c r="H42" s="128"/>
      <c r="I42" s="128"/>
    </row>
    <row r="43" spans="2:9" x14ac:dyDescent="0.25">
      <c r="B43" s="11" t="s">
        <v>48</v>
      </c>
      <c r="C43"/>
      <c r="D43"/>
      <c r="E43"/>
      <c r="F43"/>
      <c r="G43" s="143"/>
      <c r="H43" s="143"/>
      <c r="I43" s="143"/>
    </row>
    <row r="44" spans="2:9" x14ac:dyDescent="0.25">
      <c r="B44"/>
      <c r="C44" t="s">
        <v>47</v>
      </c>
      <c r="D44"/>
      <c r="E44"/>
      <c r="F44" s="5"/>
      <c r="G44" s="150">
        <v>108.6939999999997</v>
      </c>
      <c r="H44" s="150">
        <v>110.18999999999959</v>
      </c>
      <c r="I44" s="150">
        <v>145.15599999999966</v>
      </c>
    </row>
    <row r="45" spans="2:9" x14ac:dyDescent="0.25">
      <c r="B45"/>
      <c r="C45" t="s">
        <v>46</v>
      </c>
      <c r="D45"/>
      <c r="E45"/>
      <c r="F45" s="5"/>
      <c r="G45" s="150">
        <v>95.1</v>
      </c>
      <c r="H45" s="150">
        <v>113.2</v>
      </c>
      <c r="I45" s="150">
        <v>126.2</v>
      </c>
    </row>
    <row r="46" spans="2:9" x14ac:dyDescent="0.25">
      <c r="B46"/>
      <c r="C46" t="s">
        <v>45</v>
      </c>
      <c r="D46"/>
      <c r="E46"/>
      <c r="F46" s="5"/>
      <c r="G46" s="150">
        <v>16.899999999999999</v>
      </c>
      <c r="H46" s="150">
        <v>31.7</v>
      </c>
      <c r="I46" s="150">
        <v>24</v>
      </c>
    </row>
    <row r="47" spans="2:9" x14ac:dyDescent="0.25">
      <c r="B47"/>
      <c r="C47" t="s">
        <v>44</v>
      </c>
      <c r="D47"/>
      <c r="E47"/>
      <c r="F47" s="6"/>
      <c r="G47" s="150">
        <v>-119</v>
      </c>
      <c r="H47" s="150">
        <v>-4.5</v>
      </c>
      <c r="I47" s="150">
        <v>-83.800000000000011</v>
      </c>
    </row>
    <row r="48" spans="2:9" x14ac:dyDescent="0.25">
      <c r="B48"/>
      <c r="C48" t="s">
        <v>2</v>
      </c>
      <c r="D48"/>
      <c r="E48"/>
      <c r="F48" s="6"/>
      <c r="G48" s="151">
        <v>161.9</v>
      </c>
      <c r="H48" s="151">
        <v>164.2</v>
      </c>
      <c r="I48" s="140">
        <v>242.10000000000002</v>
      </c>
    </row>
    <row r="49" spans="1:9" x14ac:dyDescent="0.25">
      <c r="B49"/>
      <c r="C49" s="4" t="s">
        <v>43</v>
      </c>
      <c r="D49"/>
      <c r="E49"/>
      <c r="F49" s="3"/>
      <c r="G49" s="152">
        <f>SUM(G44:G48)</f>
        <v>263.59399999999971</v>
      </c>
      <c r="H49" s="152">
        <f>SUM(H44:H48)</f>
        <v>414.78999999999957</v>
      </c>
      <c r="I49" s="152">
        <f>SUM(I44:I48)</f>
        <v>453.65599999999966</v>
      </c>
    </row>
    <row r="50" spans="1:9" x14ac:dyDescent="0.25">
      <c r="B50" s="21"/>
      <c r="C50"/>
      <c r="D50"/>
      <c r="E50"/>
      <c r="F50"/>
      <c r="G50" s="143"/>
      <c r="H50" s="143"/>
      <c r="I50" s="143"/>
    </row>
    <row r="51" spans="1:9" x14ac:dyDescent="0.25">
      <c r="B51" s="11" t="s">
        <v>42</v>
      </c>
      <c r="C51"/>
      <c r="D51"/>
      <c r="E51"/>
      <c r="F51"/>
      <c r="G51" s="143"/>
      <c r="H51" s="143"/>
      <c r="I51" s="143"/>
    </row>
    <row r="52" spans="1:9" x14ac:dyDescent="0.25">
      <c r="B52"/>
      <c r="C52" t="s">
        <v>41</v>
      </c>
      <c r="D52"/>
      <c r="E52"/>
      <c r="F52"/>
      <c r="G52" s="153">
        <v>-134.4</v>
      </c>
      <c r="H52" s="153">
        <v>-158.69999999999999</v>
      </c>
      <c r="I52" s="153">
        <v>-194.1</v>
      </c>
    </row>
    <row r="53" spans="1:9" x14ac:dyDescent="0.25">
      <c r="B53"/>
      <c r="C53" t="s">
        <v>40</v>
      </c>
      <c r="D53"/>
      <c r="E53"/>
      <c r="F53"/>
      <c r="G53" s="153">
        <v>2</v>
      </c>
      <c r="H53" s="153">
        <v>3.4</v>
      </c>
      <c r="I53" s="153">
        <v>10.5</v>
      </c>
    </row>
    <row r="54" spans="1:9" x14ac:dyDescent="0.25">
      <c r="B54"/>
      <c r="C54" t="s">
        <v>2</v>
      </c>
      <c r="D54"/>
      <c r="E54"/>
      <c r="F54"/>
      <c r="G54" s="144">
        <v>-14.899999999999999</v>
      </c>
      <c r="H54" s="144">
        <v>-11.3</v>
      </c>
      <c r="I54" s="144">
        <v>-15.4</v>
      </c>
    </row>
    <row r="55" spans="1:9" x14ac:dyDescent="0.25">
      <c r="A55" s="20"/>
      <c r="B55"/>
      <c r="C55" s="11" t="s">
        <v>39</v>
      </c>
      <c r="D55"/>
      <c r="E55"/>
      <c r="F55" s="3"/>
      <c r="G55" s="152">
        <f>SUM(G52:G54)</f>
        <v>-147.30000000000001</v>
      </c>
      <c r="H55" s="152">
        <f>SUM(H52:H54)</f>
        <v>-166.6</v>
      </c>
      <c r="I55" s="152">
        <f>SUM(I52:I54)</f>
        <v>-199</v>
      </c>
    </row>
    <row r="56" spans="1:9" x14ac:dyDescent="0.25">
      <c r="A56" s="20"/>
      <c r="B56" s="8"/>
      <c r="C56"/>
      <c r="D56"/>
      <c r="E56"/>
      <c r="F56" s="7"/>
      <c r="G56" s="154"/>
      <c r="H56" s="154"/>
      <c r="I56" s="154"/>
    </row>
    <row r="57" spans="1:9" x14ac:dyDescent="0.25">
      <c r="A57" s="20"/>
      <c r="B57" s="8" t="s">
        <v>38</v>
      </c>
      <c r="C57"/>
      <c r="D57"/>
      <c r="E57"/>
      <c r="F57" s="7"/>
      <c r="G57" s="154"/>
      <c r="H57" s="154"/>
      <c r="I57" s="154"/>
    </row>
    <row r="58" spans="1:9" x14ac:dyDescent="0.25">
      <c r="A58" s="20"/>
      <c r="B58" s="8"/>
      <c r="C58" t="s">
        <v>37</v>
      </c>
      <c r="D58"/>
      <c r="E58"/>
      <c r="F58" s="3"/>
      <c r="G58" s="153">
        <v>10.3</v>
      </c>
      <c r="H58" s="153">
        <f>H96-G96</f>
        <v>589.5</v>
      </c>
      <c r="I58" s="153">
        <f>I96-H96</f>
        <v>-200</v>
      </c>
    </row>
    <row r="59" spans="1:9" x14ac:dyDescent="0.25">
      <c r="A59" s="20"/>
      <c r="B59" s="8"/>
      <c r="C59" s="10" t="s">
        <v>36</v>
      </c>
      <c r="D59"/>
      <c r="E59"/>
      <c r="F59" s="3"/>
      <c r="G59" s="153">
        <v>0</v>
      </c>
      <c r="H59" s="153">
        <v>0</v>
      </c>
      <c r="I59" s="153">
        <v>0</v>
      </c>
    </row>
    <row r="60" spans="1:9" x14ac:dyDescent="0.25">
      <c r="A60" s="20"/>
      <c r="B60" s="8"/>
      <c r="C60" s="10" t="s">
        <v>35</v>
      </c>
      <c r="D60"/>
      <c r="E60"/>
      <c r="F60" s="3"/>
      <c r="G60" s="153">
        <v>-259.3</v>
      </c>
      <c r="H60" s="153">
        <v>4.7</v>
      </c>
      <c r="I60" s="153">
        <v>-10</v>
      </c>
    </row>
    <row r="61" spans="1:9" x14ac:dyDescent="0.25">
      <c r="B61"/>
      <c r="C61" t="s">
        <v>34</v>
      </c>
      <c r="D61"/>
      <c r="E61"/>
      <c r="F61"/>
      <c r="G61" s="153">
        <v>0</v>
      </c>
      <c r="H61" s="153">
        <v>0</v>
      </c>
      <c r="I61" s="153">
        <v>0</v>
      </c>
    </row>
    <row r="62" spans="1:9" x14ac:dyDescent="0.25">
      <c r="B62"/>
      <c r="C62" t="s">
        <v>33</v>
      </c>
      <c r="D62"/>
      <c r="E62"/>
      <c r="F62"/>
      <c r="G62" s="153">
        <v>300.2</v>
      </c>
      <c r="H62" s="153">
        <v>0.5</v>
      </c>
      <c r="I62" s="153">
        <v>-94</v>
      </c>
    </row>
    <row r="63" spans="1:9" x14ac:dyDescent="0.25">
      <c r="B63"/>
      <c r="C63" t="s">
        <v>32</v>
      </c>
      <c r="D63"/>
      <c r="E63"/>
      <c r="F63"/>
      <c r="G63" s="153">
        <v>-0.54400000000000004</v>
      </c>
      <c r="H63" s="153">
        <v>-0.54400000000000004</v>
      </c>
      <c r="I63" s="153">
        <v>-0.54400000000000004</v>
      </c>
    </row>
    <row r="64" spans="1:9" x14ac:dyDescent="0.25">
      <c r="A64" s="20"/>
      <c r="B64" s="8"/>
      <c r="C64" t="s">
        <v>31</v>
      </c>
      <c r="D64"/>
      <c r="E64"/>
      <c r="F64" s="3"/>
      <c r="G64" s="153">
        <v>-483</v>
      </c>
      <c r="H64" s="153">
        <v>0</v>
      </c>
      <c r="I64" s="153">
        <v>0</v>
      </c>
    </row>
    <row r="65" spans="1:10" x14ac:dyDescent="0.25">
      <c r="A65" s="20"/>
      <c r="B65" s="8"/>
      <c r="C65" t="s">
        <v>2</v>
      </c>
      <c r="D65"/>
      <c r="E65"/>
      <c r="F65" s="3"/>
      <c r="G65" s="144">
        <v>-102.70000000000002</v>
      </c>
      <c r="H65" s="144">
        <v>-46.3</v>
      </c>
      <c r="I65" s="144">
        <v>-54.1</v>
      </c>
    </row>
    <row r="66" spans="1:10" x14ac:dyDescent="0.25">
      <c r="A66" s="20"/>
      <c r="B66" s="8"/>
      <c r="C66" s="11" t="s">
        <v>30</v>
      </c>
      <c r="D66"/>
      <c r="E66"/>
      <c r="F66" s="3"/>
      <c r="G66" s="152">
        <f>SUM(G58:G65)</f>
        <v>-535.04399999999998</v>
      </c>
      <c r="H66" s="152">
        <f>SUM(H58:H65)</f>
        <v>547.85600000000011</v>
      </c>
      <c r="I66" s="152">
        <f>SUM(I58:I65)</f>
        <v>-358.64400000000001</v>
      </c>
    </row>
    <row r="67" spans="1:10" x14ac:dyDescent="0.25">
      <c r="A67" s="20"/>
      <c r="B67" s="8"/>
      <c r="C67" s="11"/>
      <c r="D67"/>
      <c r="E67"/>
      <c r="F67" s="3"/>
      <c r="G67" s="143"/>
      <c r="H67" s="143"/>
      <c r="I67" s="143"/>
    </row>
    <row r="68" spans="1:10" x14ac:dyDescent="0.25">
      <c r="A68" s="20"/>
      <c r="B68"/>
      <c r="C68" s="21" t="s">
        <v>29</v>
      </c>
      <c r="D68"/>
      <c r="E68"/>
      <c r="F68" s="3"/>
      <c r="G68" s="155">
        <f>G49+G55+G66</f>
        <v>-418.75000000000028</v>
      </c>
      <c r="H68" s="155">
        <f>H49+H55+H66</f>
        <v>796.04599999999971</v>
      </c>
      <c r="I68" s="155">
        <f>I49+I55+I66</f>
        <v>-103.98800000000034</v>
      </c>
    </row>
    <row r="69" spans="1:10" x14ac:dyDescent="0.25">
      <c r="A69" s="20"/>
      <c r="B69"/>
      <c r="C69" s="21" t="s">
        <v>28</v>
      </c>
      <c r="D69"/>
      <c r="E69"/>
      <c r="F69" s="3"/>
      <c r="G69" s="144">
        <v>542.4</v>
      </c>
      <c r="H69" s="156">
        <f>G70</f>
        <v>123.64999999999969</v>
      </c>
      <c r="I69" s="156">
        <f>H70</f>
        <v>919.69599999999946</v>
      </c>
    </row>
    <row r="70" spans="1:10" ht="14.4" thickBot="1" x14ac:dyDescent="0.3">
      <c r="A70" s="20"/>
      <c r="B70"/>
      <c r="C70" s="4" t="s">
        <v>27</v>
      </c>
      <c r="D70"/>
      <c r="E70"/>
      <c r="F70" s="3"/>
      <c r="G70" s="160">
        <f>G69+G68</f>
        <v>123.64999999999969</v>
      </c>
      <c r="H70" s="160">
        <f>H69+H68</f>
        <v>919.69599999999946</v>
      </c>
      <c r="I70" s="160">
        <f>I69+I68</f>
        <v>815.70799999999917</v>
      </c>
    </row>
    <row r="71" spans="1:10" ht="14.4" thickTop="1" x14ac:dyDescent="0.25">
      <c r="J71" s="1"/>
    </row>
    <row r="72" spans="1:10" ht="22.5" x14ac:dyDescent="0.4">
      <c r="B72" s="19" t="s">
        <v>67</v>
      </c>
      <c r="C72" s="17"/>
      <c r="D72" s="17"/>
      <c r="E72" s="17"/>
      <c r="F72" s="17"/>
      <c r="G72" s="148"/>
      <c r="H72" s="148"/>
      <c r="I72" s="148"/>
    </row>
    <row r="73" spans="1:10" ht="17.850000000000001" x14ac:dyDescent="0.35">
      <c r="B73" s="18" t="s">
        <v>26</v>
      </c>
      <c r="C73" s="17"/>
      <c r="D73" s="17"/>
      <c r="E73" s="17"/>
      <c r="F73" s="17"/>
      <c r="G73" s="148"/>
      <c r="H73" s="148"/>
      <c r="I73" s="148"/>
    </row>
    <row r="74" spans="1:10" ht="17.850000000000001" thickBot="1" x14ac:dyDescent="0.35">
      <c r="B74" s="16"/>
      <c r="C74" s="15"/>
      <c r="D74" s="15"/>
      <c r="E74" s="15"/>
      <c r="F74" s="15"/>
      <c r="G74" s="149"/>
      <c r="H74" s="149"/>
      <c r="I74" s="149"/>
    </row>
    <row r="75" spans="1:10" x14ac:dyDescent="0.25">
      <c r="B75" s="14"/>
      <c r="C75"/>
      <c r="D75"/>
      <c r="E75"/>
      <c r="F75"/>
      <c r="G75" s="143"/>
      <c r="H75" s="143"/>
      <c r="I75" s="143"/>
    </row>
    <row r="76" spans="1:10" x14ac:dyDescent="0.25">
      <c r="B76" s="14" t="s">
        <v>25</v>
      </c>
      <c r="C76"/>
      <c r="D76" s="11"/>
      <c r="E76" s="11"/>
      <c r="F76"/>
      <c r="G76" s="158"/>
      <c r="H76" s="158"/>
      <c r="I76" s="158"/>
    </row>
    <row r="77" spans="1:10" x14ac:dyDescent="0.25">
      <c r="B77" s="13"/>
      <c r="C77"/>
      <c r="D77"/>
      <c r="E77"/>
      <c r="F77" s="12"/>
      <c r="G77" s="163">
        <v>2022</v>
      </c>
      <c r="H77" s="163">
        <v>2023</v>
      </c>
      <c r="I77" s="163">
        <v>2024</v>
      </c>
    </row>
    <row r="78" spans="1:10" x14ac:dyDescent="0.25">
      <c r="B78" s="11" t="s">
        <v>24</v>
      </c>
      <c r="C78"/>
      <c r="D78"/>
      <c r="E78"/>
      <c r="F78"/>
      <c r="G78" s="163"/>
      <c r="H78" s="163"/>
      <c r="I78" s="163"/>
    </row>
    <row r="79" spans="1:10" x14ac:dyDescent="0.25">
      <c r="B79"/>
      <c r="C79" t="s">
        <v>23</v>
      </c>
      <c r="D79"/>
      <c r="E79"/>
      <c r="F79" s="6"/>
      <c r="G79" s="153">
        <f>G70</f>
        <v>123.64999999999969</v>
      </c>
      <c r="H79" s="153">
        <f>H70</f>
        <v>919.69599999999946</v>
      </c>
      <c r="I79" s="153">
        <f>I70</f>
        <v>815.70799999999917</v>
      </c>
    </row>
    <row r="80" spans="1:10" x14ac:dyDescent="0.25">
      <c r="B80"/>
      <c r="C80" t="s">
        <v>22</v>
      </c>
      <c r="D80"/>
      <c r="E80"/>
      <c r="F80" s="6"/>
      <c r="G80" s="153">
        <v>266.60000000000002</v>
      </c>
      <c r="H80" s="153">
        <v>306.8</v>
      </c>
      <c r="I80" s="153">
        <v>308.39999999999998</v>
      </c>
    </row>
    <row r="81" spans="2:9" x14ac:dyDescent="0.25">
      <c r="B81"/>
      <c r="C81" t="s">
        <v>21</v>
      </c>
      <c r="D81"/>
      <c r="E81"/>
      <c r="F81" s="6"/>
      <c r="G81" s="153">
        <v>532.70000000000005</v>
      </c>
      <c r="H81" s="153">
        <v>630.20000000000005</v>
      </c>
      <c r="I81" s="153">
        <v>685.9</v>
      </c>
    </row>
    <row r="82" spans="2:9" x14ac:dyDescent="0.25">
      <c r="B82"/>
      <c r="C82" s="10" t="s">
        <v>2</v>
      </c>
      <c r="D82"/>
      <c r="E82"/>
      <c r="F82" s="6"/>
      <c r="G82" s="144">
        <v>51.4</v>
      </c>
      <c r="H82" s="144">
        <v>61</v>
      </c>
      <c r="I82" s="144">
        <v>65.3</v>
      </c>
    </row>
    <row r="83" spans="2:9" x14ac:dyDescent="0.25">
      <c r="B83"/>
      <c r="C83" s="4" t="s">
        <v>20</v>
      </c>
      <c r="D83"/>
      <c r="E83"/>
      <c r="F83" s="7"/>
      <c r="G83" s="155">
        <f>SUM(G79:G82)</f>
        <v>974.3499999999998</v>
      </c>
      <c r="H83" s="155">
        <f>SUM(H79:H82)</f>
        <v>1917.6959999999995</v>
      </c>
      <c r="I83" s="155">
        <f>SUM(I79:I82)</f>
        <v>1875.3079999999993</v>
      </c>
    </row>
    <row r="84" spans="2:9" x14ac:dyDescent="0.25">
      <c r="B84"/>
      <c r="C84"/>
      <c r="D84"/>
      <c r="E84"/>
      <c r="F84" s="5"/>
      <c r="G84" s="155"/>
      <c r="H84" s="155"/>
      <c r="I84" s="155"/>
    </row>
    <row r="85" spans="2:9" x14ac:dyDescent="0.25">
      <c r="B85"/>
      <c r="C85" t="s">
        <v>19</v>
      </c>
      <c r="D85"/>
      <c r="E85"/>
      <c r="F85" s="6"/>
      <c r="G85" s="153">
        <v>515.29999999999995</v>
      </c>
      <c r="H85" s="153">
        <v>586.9</v>
      </c>
      <c r="I85" s="153">
        <v>636.6</v>
      </c>
    </row>
    <row r="86" spans="2:9" x14ac:dyDescent="0.25">
      <c r="B86"/>
      <c r="C86" t="s">
        <v>18</v>
      </c>
      <c r="D86"/>
      <c r="E86"/>
      <c r="F86" s="6"/>
      <c r="G86" s="153">
        <v>116</v>
      </c>
      <c r="H86" s="153">
        <v>115.9</v>
      </c>
      <c r="I86" s="153">
        <v>116</v>
      </c>
    </row>
    <row r="87" spans="2:9" x14ac:dyDescent="0.25">
      <c r="B87"/>
      <c r="C87" t="s">
        <v>17</v>
      </c>
      <c r="D87"/>
      <c r="E87"/>
      <c r="F87" s="6"/>
      <c r="G87" s="153">
        <v>219.89999999999998</v>
      </c>
      <c r="H87" s="153">
        <v>220.6</v>
      </c>
      <c r="I87" s="153">
        <v>207.89999999999998</v>
      </c>
    </row>
    <row r="88" spans="2:9" x14ac:dyDescent="0.25">
      <c r="B88"/>
      <c r="C88" t="s">
        <v>16</v>
      </c>
      <c r="D88"/>
      <c r="E88"/>
      <c r="F88" s="6"/>
      <c r="G88" s="145">
        <v>14</v>
      </c>
      <c r="H88" s="145">
        <v>17.7</v>
      </c>
      <c r="I88" s="145">
        <v>28.8</v>
      </c>
    </row>
    <row r="89" spans="2:9" x14ac:dyDescent="0.25">
      <c r="B89"/>
      <c r="C89" s="10" t="s">
        <v>2</v>
      </c>
      <c r="D89"/>
      <c r="E89"/>
      <c r="F89" s="6"/>
      <c r="G89" s="153">
        <v>145.9</v>
      </c>
      <c r="H89" s="153">
        <v>159.1</v>
      </c>
      <c r="I89" s="153">
        <v>132.5</v>
      </c>
    </row>
    <row r="90" spans="2:9" x14ac:dyDescent="0.25">
      <c r="B90"/>
      <c r="C90" s="8" t="s">
        <v>15</v>
      </c>
      <c r="D90"/>
      <c r="E90"/>
      <c r="F90" s="6"/>
      <c r="G90" s="159">
        <f>SUM(G85:G89)</f>
        <v>1011.0999999999999</v>
      </c>
      <c r="H90" s="159">
        <f>SUM(H85:H89)</f>
        <v>1100.2</v>
      </c>
      <c r="I90" s="159">
        <f>SUM(I85:I89)</f>
        <v>1121.8</v>
      </c>
    </row>
    <row r="91" spans="2:9" x14ac:dyDescent="0.25">
      <c r="B91"/>
      <c r="C91" s="10"/>
      <c r="D91"/>
      <c r="E91"/>
      <c r="F91" s="5"/>
      <c r="G91" s="155"/>
      <c r="H91" s="155"/>
      <c r="I91" s="155"/>
    </row>
    <row r="92" spans="2:9" ht="14.4" thickBot="1" x14ac:dyDescent="0.3">
      <c r="B92"/>
      <c r="C92" s="11" t="s">
        <v>14</v>
      </c>
      <c r="D92"/>
      <c r="E92"/>
      <c r="F92" s="3"/>
      <c r="G92" s="160">
        <f>G83+G90</f>
        <v>1985.4499999999998</v>
      </c>
      <c r="H92" s="160">
        <f>H83+H90</f>
        <v>3017.8959999999997</v>
      </c>
      <c r="I92" s="160">
        <f>I83+I90</f>
        <v>2997.1079999999993</v>
      </c>
    </row>
    <row r="93" spans="2:9" ht="14.4" thickTop="1" x14ac:dyDescent="0.25">
      <c r="B93"/>
      <c r="C93"/>
      <c r="D93"/>
      <c r="E93"/>
      <c r="F93" s="5"/>
      <c r="G93" s="155"/>
      <c r="H93" s="155"/>
      <c r="I93" s="155"/>
    </row>
    <row r="94" spans="2:9" x14ac:dyDescent="0.25">
      <c r="B94"/>
      <c r="C94"/>
      <c r="D94"/>
      <c r="E94"/>
      <c r="F94" s="5"/>
      <c r="G94" s="155"/>
      <c r="H94" s="155"/>
      <c r="I94" s="155"/>
    </row>
    <row r="95" spans="2:9" x14ac:dyDescent="0.25">
      <c r="B95" s="4" t="s">
        <v>13</v>
      </c>
      <c r="C95"/>
      <c r="D95"/>
      <c r="E95"/>
      <c r="F95" s="5"/>
      <c r="G95" s="155"/>
      <c r="H95" s="155"/>
      <c r="I95" s="155"/>
    </row>
    <row r="96" spans="2:9" x14ac:dyDescent="0.25">
      <c r="B96"/>
      <c r="C96" s="10" t="s">
        <v>12</v>
      </c>
      <c r="D96"/>
      <c r="E96"/>
      <c r="F96" s="6"/>
      <c r="G96" s="153">
        <v>10.5</v>
      </c>
      <c r="H96" s="153">
        <v>600</v>
      </c>
      <c r="I96" s="153">
        <v>400</v>
      </c>
    </row>
    <row r="97" spans="2:9" x14ac:dyDescent="0.25">
      <c r="B97"/>
      <c r="C97" s="10" t="s">
        <v>11</v>
      </c>
      <c r="D97"/>
      <c r="E97"/>
      <c r="F97" s="6"/>
      <c r="G97" s="161">
        <v>547</v>
      </c>
      <c r="H97" s="161">
        <v>678.4</v>
      </c>
      <c r="I97" s="161">
        <v>650.29999999999995</v>
      </c>
    </row>
    <row r="98" spans="2:9" x14ac:dyDescent="0.25">
      <c r="B98"/>
      <c r="C98" s="10" t="s">
        <v>253</v>
      </c>
      <c r="D98"/>
      <c r="E98"/>
      <c r="F98" s="6"/>
      <c r="G98" s="144">
        <v>206.6</v>
      </c>
      <c r="H98" s="144">
        <v>248.50000000000006</v>
      </c>
      <c r="I98" s="144">
        <v>266.2</v>
      </c>
    </row>
    <row r="99" spans="2:9" x14ac:dyDescent="0.25">
      <c r="B99"/>
      <c r="C99" s="4" t="s">
        <v>10</v>
      </c>
      <c r="D99"/>
      <c r="E99"/>
      <c r="F99" s="7"/>
      <c r="G99" s="154">
        <f>SUM(G96:G98)</f>
        <v>764.1</v>
      </c>
      <c r="H99" s="154">
        <f>SUM(H96:H98)</f>
        <v>1526.9</v>
      </c>
      <c r="I99" s="154">
        <f>SUM(I96:I98)</f>
        <v>1316.5</v>
      </c>
    </row>
    <row r="100" spans="2:9" x14ac:dyDescent="0.25">
      <c r="B100"/>
      <c r="C100"/>
      <c r="D100"/>
      <c r="E100"/>
      <c r="F100" s="5"/>
      <c r="G100" s="155"/>
      <c r="H100" s="155"/>
      <c r="I100" s="155"/>
    </row>
    <row r="101" spans="2:9" x14ac:dyDescent="0.25">
      <c r="B101"/>
      <c r="C101" s="10" t="s">
        <v>9</v>
      </c>
      <c r="D101"/>
      <c r="E101"/>
      <c r="F101" s="9"/>
      <c r="G101" s="145">
        <v>0</v>
      </c>
      <c r="H101" s="145">
        <v>0</v>
      </c>
      <c r="I101" s="145">
        <v>250</v>
      </c>
    </row>
    <row r="102" spans="2:9" x14ac:dyDescent="0.25">
      <c r="B102"/>
      <c r="C102" s="10" t="s">
        <v>8</v>
      </c>
      <c r="D102"/>
      <c r="E102"/>
      <c r="F102" s="9"/>
      <c r="G102" s="145">
        <v>889.9</v>
      </c>
      <c r="H102" s="145">
        <v>1035.5</v>
      </c>
      <c r="I102" s="145">
        <v>896.59999999999991</v>
      </c>
    </row>
    <row r="103" spans="2:9" x14ac:dyDescent="0.25">
      <c r="B103"/>
      <c r="C103" s="10" t="s">
        <v>253</v>
      </c>
      <c r="D103"/>
      <c r="E103"/>
      <c r="F103" s="9"/>
      <c r="G103" s="144">
        <v>324</v>
      </c>
      <c r="H103" s="144">
        <v>394.70000000000005</v>
      </c>
      <c r="I103" s="144">
        <v>367.40000000000003</v>
      </c>
    </row>
    <row r="104" spans="2:9" x14ac:dyDescent="0.25">
      <c r="B104"/>
      <c r="C104" s="8" t="s">
        <v>7</v>
      </c>
      <c r="D104"/>
      <c r="E104"/>
      <c r="F104" s="6"/>
      <c r="G104" s="155">
        <f>SUM(G101:G103)</f>
        <v>1213.9000000000001</v>
      </c>
      <c r="H104" s="155">
        <f>SUM(H101:H103)</f>
        <v>1430.2</v>
      </c>
      <c r="I104" s="155">
        <f>SUM(I101:I103)</f>
        <v>1514</v>
      </c>
    </row>
    <row r="105" spans="2:9" x14ac:dyDescent="0.25">
      <c r="B105"/>
      <c r="C105" s="4"/>
      <c r="D105"/>
      <c r="E105"/>
      <c r="F105" s="5"/>
      <c r="G105" s="155"/>
      <c r="H105" s="155"/>
      <c r="I105" s="155"/>
    </row>
    <row r="106" spans="2:9" x14ac:dyDescent="0.25">
      <c r="B106"/>
      <c r="C106" s="8" t="s">
        <v>6</v>
      </c>
      <c r="D106"/>
      <c r="E106"/>
      <c r="F106" s="3"/>
      <c r="G106" s="142">
        <f>G99+G104</f>
        <v>1978</v>
      </c>
      <c r="H106" s="142">
        <f>H99+H104</f>
        <v>2957.1000000000004</v>
      </c>
      <c r="I106" s="142">
        <f>I99+I104</f>
        <v>2830.5</v>
      </c>
    </row>
    <row r="107" spans="2:9" x14ac:dyDescent="0.25">
      <c r="B107"/>
      <c r="C107"/>
      <c r="D107"/>
      <c r="E107"/>
      <c r="F107" s="5"/>
      <c r="G107" s="155"/>
      <c r="H107" s="155"/>
      <c r="I107" s="155"/>
    </row>
    <row r="108" spans="2:9" x14ac:dyDescent="0.25">
      <c r="B108"/>
      <c r="C108" t="s">
        <v>5</v>
      </c>
      <c r="D108"/>
      <c r="E108"/>
      <c r="F108" s="7"/>
      <c r="G108" s="153">
        <v>6.4</v>
      </c>
      <c r="H108" s="153">
        <v>6.4</v>
      </c>
      <c r="I108" s="153">
        <v>6.4</v>
      </c>
    </row>
    <row r="109" spans="2:9" x14ac:dyDescent="0.25">
      <c r="B109"/>
      <c r="C109" t="s">
        <v>4</v>
      </c>
      <c r="D109"/>
      <c r="E109"/>
      <c r="F109" s="7"/>
      <c r="G109" s="153">
        <v>365.3</v>
      </c>
      <c r="H109" s="153">
        <v>371.9</v>
      </c>
      <c r="I109" s="153">
        <v>346.40000000000003</v>
      </c>
    </row>
    <row r="110" spans="2:9" x14ac:dyDescent="0.25">
      <c r="B110"/>
      <c r="C110" t="s">
        <v>3</v>
      </c>
      <c r="D110"/>
      <c r="E110"/>
      <c r="F110" s="7"/>
      <c r="G110" s="153">
        <v>-380.4500000000001</v>
      </c>
      <c r="H110" s="153">
        <v>-331.10400000000078</v>
      </c>
      <c r="I110" s="153">
        <v>-212.89200000000073</v>
      </c>
    </row>
    <row r="111" spans="2:9" x14ac:dyDescent="0.25">
      <c r="B111"/>
      <c r="C111" t="s">
        <v>2</v>
      </c>
      <c r="D111"/>
      <c r="E111"/>
      <c r="F111" s="7"/>
      <c r="G111" s="144">
        <v>16.2</v>
      </c>
      <c r="H111" s="144">
        <v>13.599999999999998</v>
      </c>
      <c r="I111" s="144">
        <v>26.7</v>
      </c>
    </row>
    <row r="112" spans="2:9" x14ac:dyDescent="0.25">
      <c r="B112"/>
      <c r="C112" s="4" t="s">
        <v>1</v>
      </c>
      <c r="D112"/>
      <c r="E112"/>
      <c r="F112" s="6"/>
      <c r="G112" s="157">
        <f>SUM(G108:G111)</f>
        <v>7.4499999999998856</v>
      </c>
      <c r="H112" s="157">
        <f>SUM(H108:H111)</f>
        <v>60.795999999999168</v>
      </c>
      <c r="I112" s="157">
        <f>SUM(I108:I111)</f>
        <v>166.60799999999927</v>
      </c>
    </row>
    <row r="113" spans="2:10" x14ac:dyDescent="0.25">
      <c r="B113"/>
      <c r="C113"/>
      <c r="D113"/>
      <c r="E113"/>
      <c r="F113" s="5"/>
      <c r="G113" s="155"/>
      <c r="H113" s="155"/>
      <c r="I113" s="155"/>
    </row>
    <row r="114" spans="2:10" ht="14.4" thickBot="1" x14ac:dyDescent="0.3">
      <c r="B114" s="4" t="s">
        <v>0</v>
      </c>
      <c r="C114"/>
      <c r="D114"/>
      <c r="E114"/>
      <c r="F114" s="3"/>
      <c r="G114" s="160">
        <f>G106+G112</f>
        <v>1985.4499999999998</v>
      </c>
      <c r="H114" s="160">
        <f>H106+H112</f>
        <v>3017.8959999999997</v>
      </c>
      <c r="I114" s="160">
        <f>I106+I112</f>
        <v>2997.1079999999993</v>
      </c>
    </row>
    <row r="115" spans="2:10" ht="14.4" thickTop="1" x14ac:dyDescent="0.25">
      <c r="F115" s="2"/>
      <c r="G115" s="162"/>
      <c r="H115" s="162"/>
      <c r="I115" s="123"/>
    </row>
    <row r="116" spans="2:10" x14ac:dyDescent="0.25">
      <c r="B116" s="102"/>
      <c r="G116" s="164">
        <f>G92-G114</f>
        <v>0</v>
      </c>
      <c r="H116" s="164">
        <f t="shared" ref="H116:I116" si="0">H92-H114</f>
        <v>0</v>
      </c>
      <c r="I116" s="164">
        <f t="shared" si="0"/>
        <v>0</v>
      </c>
      <c r="J116" s="1"/>
    </row>
    <row r="117" spans="2:10" x14ac:dyDescent="0.25">
      <c r="J117" s="1"/>
    </row>
    <row r="118" spans="2:10" x14ac:dyDescent="0.25">
      <c r="J118" s="1"/>
    </row>
    <row r="119" spans="2:10" x14ac:dyDescent="0.25">
      <c r="J119" s="1"/>
    </row>
  </sheetData>
  <pageMargins left="0.7" right="0.7" top="0.75" bottom="0.75" header="0.3" footer="0.3"/>
  <pageSetup fitToHeight="0" orientation="landscape" r:id="rId1"/>
  <rowBreaks count="2" manualBreakCount="2">
    <brk id="35" max="16383" man="1"/>
    <brk id="93" max="16383" man="1"/>
  </rowBreaks>
  <colBreaks count="2" manualBreakCount="2">
    <brk id="1" max="1048575" man="1"/>
    <brk id="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5095-9101-4EB0-ABA3-47B1D6604B08}">
  <sheetPr>
    <pageSetUpPr fitToPage="1"/>
  </sheetPr>
  <dimension ref="A1:Q98"/>
  <sheetViews>
    <sheetView showGridLines="0" workbookViewId="0">
      <pane ySplit="7" topLeftCell="A8" activePane="bottomLeft" state="frozen"/>
      <selection pane="bottomLeft"/>
    </sheetView>
  </sheetViews>
  <sheetFormatPr defaultRowHeight="13.85" x14ac:dyDescent="0.25"/>
  <cols>
    <col min="1" max="1" width="0.54296875" customWidth="1"/>
    <col min="2" max="3" width="1.81640625" customWidth="1"/>
    <col min="4" max="4" width="30.6328125" customWidth="1"/>
    <col min="5" max="5" width="8.6328125" style="62"/>
    <col min="6" max="6" width="17.453125" customWidth="1"/>
    <col min="7" max="8" width="1.6328125" customWidth="1"/>
    <col min="10" max="10" width="9.453125" customWidth="1"/>
    <col min="12" max="12" width="10.453125" customWidth="1"/>
    <col min="13" max="13" width="10.26953125" customWidth="1"/>
  </cols>
  <sheetData>
    <row r="1" spans="1:17" ht="4.05" customHeight="1" x14ac:dyDescent="0.25">
      <c r="E1"/>
    </row>
    <row r="2" spans="1:17" ht="26.5" x14ac:dyDescent="0.55000000000000004">
      <c r="A2" s="48"/>
      <c r="B2" s="49" t="str">
        <f>Hist!B1</f>
        <v>FED Manufacturing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7" x14ac:dyDescent="0.25">
      <c r="A3" s="48"/>
      <c r="B3" s="53" t="s">
        <v>79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7" x14ac:dyDescent="0.25">
      <c r="A4" s="48"/>
      <c r="B4" s="48"/>
      <c r="C4" s="48"/>
      <c r="D4" s="48"/>
      <c r="E4" s="48"/>
      <c r="F4" s="48"/>
      <c r="G4" s="48"/>
      <c r="H4" s="48"/>
      <c r="I4" s="48"/>
      <c r="J4" s="168" t="str">
        <f>"BS Check "&amp;BS_Check</f>
        <v>BS Check OK</v>
      </c>
      <c r="K4" s="169"/>
      <c r="L4" s="168" t="str">
        <f>LiveScenario</f>
        <v>Scenario: Base Case</v>
      </c>
      <c r="M4" s="169"/>
      <c r="N4" s="48"/>
      <c r="O4" s="48"/>
      <c r="P4" s="48"/>
    </row>
    <row r="5" spans="1:17" ht="3.05" customHeight="1" x14ac:dyDescent="0.25">
      <c r="E5"/>
    </row>
    <row r="6" spans="1:17" x14ac:dyDescent="0.25">
      <c r="E6"/>
      <c r="I6" s="50" t="s">
        <v>76</v>
      </c>
      <c r="J6" s="50" t="s">
        <v>76</v>
      </c>
      <c r="K6" s="50" t="s">
        <v>76</v>
      </c>
      <c r="L6" s="50" t="s">
        <v>77</v>
      </c>
      <c r="M6" s="50" t="s">
        <v>77</v>
      </c>
      <c r="N6" s="50" t="s">
        <v>77</v>
      </c>
      <c r="O6" s="50" t="s">
        <v>77</v>
      </c>
      <c r="P6" s="50" t="s">
        <v>77</v>
      </c>
    </row>
    <row r="7" spans="1:17" ht="14.4" x14ac:dyDescent="0.3">
      <c r="D7" s="54" t="s">
        <v>78</v>
      </c>
      <c r="E7" s="54" t="s">
        <v>73</v>
      </c>
      <c r="F7" s="54" t="s">
        <v>265</v>
      </c>
      <c r="I7" s="51">
        <f>Hist!G6</f>
        <v>2022</v>
      </c>
      <c r="J7" s="51">
        <f>Hist!H6</f>
        <v>2023</v>
      </c>
      <c r="K7" s="51">
        <f>Hist!I6</f>
        <v>2024</v>
      </c>
      <c r="L7" s="52">
        <f>K7+1</f>
        <v>2025</v>
      </c>
      <c r="M7" s="52">
        <f t="shared" ref="M7:P7" si="0">L7+1</f>
        <v>2026</v>
      </c>
      <c r="N7" s="52">
        <f t="shared" si="0"/>
        <v>2027</v>
      </c>
      <c r="O7" s="52">
        <f t="shared" si="0"/>
        <v>2028</v>
      </c>
      <c r="P7" s="52">
        <f t="shared" si="0"/>
        <v>2029</v>
      </c>
      <c r="Q7" s="47"/>
    </row>
    <row r="9" spans="1:17" ht="17.3" thickBot="1" x14ac:dyDescent="0.35">
      <c r="B9" s="59" t="s">
        <v>260</v>
      </c>
      <c r="C9" s="59"/>
      <c r="D9" s="59"/>
      <c r="E9" s="65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17" x14ac:dyDescent="0.25">
      <c r="C10" s="60" t="s">
        <v>266</v>
      </c>
      <c r="D10" s="60"/>
      <c r="E10" s="66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2" spans="1:17" x14ac:dyDescent="0.25">
      <c r="C12" s="61" t="s">
        <v>62</v>
      </c>
    </row>
    <row r="13" spans="1:17" x14ac:dyDescent="0.25">
      <c r="D13" t="s">
        <v>261</v>
      </c>
      <c r="E13" s="62" t="s">
        <v>99</v>
      </c>
      <c r="I13">
        <v>3194.1</v>
      </c>
      <c r="J13">
        <v>3524.7</v>
      </c>
      <c r="K13">
        <v>3829.2</v>
      </c>
      <c r="L13">
        <v>3981.41</v>
      </c>
      <c r="M13">
        <v>4094.4926</v>
      </c>
      <c r="N13">
        <v>4274.2186499999998</v>
      </c>
      <c r="O13">
        <v>4395.82857762</v>
      </c>
      <c r="P13">
        <v>4588.1923667403998</v>
      </c>
    </row>
    <row r="14" spans="1:17" x14ac:dyDescent="0.25">
      <c r="D14" t="s">
        <v>262</v>
      </c>
      <c r="E14" s="62" t="s">
        <v>90</v>
      </c>
      <c r="J14" s="56">
        <v>0.10350333427256508</v>
      </c>
      <c r="K14" s="56">
        <v>8.6390331092007777E-2</v>
      </c>
      <c r="L14" s="56">
        <v>3.9749817194191905E-2</v>
      </c>
      <c r="M14" s="56">
        <v>2.8402651322019024E-2</v>
      </c>
      <c r="N14" s="56">
        <v>4.3894584154334559E-2</v>
      </c>
      <c r="O14" s="56">
        <v>2.8451966915637339E-2</v>
      </c>
      <c r="P14" s="56">
        <v>4.3760530176213175E-2</v>
      </c>
    </row>
    <row r="16" spans="1:17" x14ac:dyDescent="0.25">
      <c r="C16" s="61" t="s">
        <v>58</v>
      </c>
    </row>
    <row r="17" spans="3:16" x14ac:dyDescent="0.25">
      <c r="D17" t="s">
        <v>58</v>
      </c>
      <c r="E17" s="62" t="s">
        <v>99</v>
      </c>
      <c r="I17">
        <v>390.39999999999964</v>
      </c>
      <c r="J17">
        <v>418.29999999999944</v>
      </c>
      <c r="K17">
        <v>465.49999999999955</v>
      </c>
      <c r="L17">
        <v>467.14461902236599</v>
      </c>
      <c r="M17">
        <v>492.3705844979263</v>
      </c>
      <c r="N17">
        <v>552.15834246502391</v>
      </c>
      <c r="O17">
        <v>580.71676239664976</v>
      </c>
      <c r="P17">
        <v>646.30457413281965</v>
      </c>
    </row>
    <row r="18" spans="3:16" x14ac:dyDescent="0.25">
      <c r="D18" t="s">
        <v>262</v>
      </c>
      <c r="E18" s="62" t="s">
        <v>90</v>
      </c>
      <c r="J18" s="56">
        <v>7.1465163934425702E-2</v>
      </c>
      <c r="K18" s="56">
        <v>0.11283767630886965</v>
      </c>
      <c r="L18" s="56">
        <v>3.5330161597559862E-3</v>
      </c>
      <c r="M18" s="56">
        <v>5.4000334047201282E-2</v>
      </c>
      <c r="N18" s="56">
        <v>0.1214283709252526</v>
      </c>
      <c r="O18" s="56">
        <v>5.172143158089626E-2</v>
      </c>
      <c r="P18" s="56">
        <v>0.11294285955426098</v>
      </c>
    </row>
    <row r="19" spans="3:16" x14ac:dyDescent="0.25">
      <c r="D19" t="s">
        <v>254</v>
      </c>
      <c r="E19" s="62" t="s">
        <v>90</v>
      </c>
      <c r="I19" s="56">
        <v>0.12222535299458365</v>
      </c>
      <c r="J19" s="56">
        <v>0.11867676681703392</v>
      </c>
      <c r="K19" s="56">
        <v>0.12156586232111134</v>
      </c>
      <c r="L19" s="56">
        <v>0.11733145268193078</v>
      </c>
      <c r="M19" s="56">
        <v>0.12025191705021675</v>
      </c>
      <c r="N19" s="56">
        <v>0.12918345730044109</v>
      </c>
      <c r="O19" s="56">
        <v>0.13210632583654178</v>
      </c>
      <c r="P19" s="56">
        <v>0.14086257124218515</v>
      </c>
    </row>
    <row r="21" spans="3:16" x14ac:dyDescent="0.25">
      <c r="C21" s="61" t="s">
        <v>263</v>
      </c>
    </row>
    <row r="22" spans="3:16" x14ac:dyDescent="0.25">
      <c r="D22" t="s">
        <v>263</v>
      </c>
      <c r="E22" s="62" t="s">
        <v>99</v>
      </c>
      <c r="I22">
        <v>108.6939999999997</v>
      </c>
      <c r="J22">
        <v>110.18999999999959</v>
      </c>
      <c r="K22">
        <v>145.15599999999966</v>
      </c>
      <c r="L22">
        <v>174.79582403120455</v>
      </c>
      <c r="M22">
        <v>201.06674718415061</v>
      </c>
      <c r="N22">
        <v>239.07092022191958</v>
      </c>
      <c r="O22">
        <v>256.75852969710843</v>
      </c>
      <c r="P22">
        <v>302.18450050311878</v>
      </c>
    </row>
    <row r="23" spans="3:16" x14ac:dyDescent="0.25">
      <c r="D23" t="s">
        <v>262</v>
      </c>
      <c r="E23" s="62" t="s">
        <v>90</v>
      </c>
      <c r="J23" s="56">
        <v>1.3763409203818799E-2</v>
      </c>
      <c r="K23" s="56">
        <v>0.31732462110899551</v>
      </c>
      <c r="L23" s="56">
        <v>0.20419289613384883</v>
      </c>
      <c r="M23" s="56">
        <v>0.15029491292798958</v>
      </c>
      <c r="N23" s="56">
        <v>0.1890127212480448</v>
      </c>
      <c r="O23" s="56">
        <v>7.3984780159670471E-2</v>
      </c>
      <c r="P23" s="56">
        <v>0.17692098042311666</v>
      </c>
    </row>
    <row r="24" spans="3:16" x14ac:dyDescent="0.25">
      <c r="D24" t="s">
        <v>257</v>
      </c>
      <c r="E24" s="62" t="s">
        <v>90</v>
      </c>
      <c r="I24" s="56">
        <v>3.4029617106540094E-2</v>
      </c>
      <c r="J24" s="56">
        <v>3.1262235083836805E-2</v>
      </c>
      <c r="K24" s="56">
        <v>3.7907656951843643E-2</v>
      </c>
      <c r="L24" s="56">
        <v>4.3902995177890383E-2</v>
      </c>
      <c r="M24" s="56">
        <v>4.9106633428559775E-2</v>
      </c>
      <c r="N24" s="56">
        <v>5.593324530131831E-2</v>
      </c>
      <c r="O24" s="56">
        <v>5.8409586534906063E-2</v>
      </c>
      <c r="P24" s="56">
        <v>6.5861340665147483E-2</v>
      </c>
    </row>
    <row r="26" spans="3:16" x14ac:dyDescent="0.25">
      <c r="C26" s="61" t="s">
        <v>255</v>
      </c>
    </row>
    <row r="27" spans="3:16" x14ac:dyDescent="0.25">
      <c r="D27" t="s">
        <v>256</v>
      </c>
      <c r="E27" s="62" t="s">
        <v>90</v>
      </c>
      <c r="I27" s="105">
        <v>14.589798657718305</v>
      </c>
      <c r="J27" s="105">
        <v>1.8124547667609892</v>
      </c>
      <c r="K27" s="105">
        <v>0.87124267742245454</v>
      </c>
      <c r="L27" s="105">
        <v>0.49957690387287584</v>
      </c>
      <c r="M27" s="105">
        <v>0.36769774161091223</v>
      </c>
      <c r="N27" s="105">
        <v>0.30668501220287897</v>
      </c>
      <c r="O27" s="105">
        <v>0.2526675106015252</v>
      </c>
      <c r="P27" s="105">
        <v>0.23688393085710943</v>
      </c>
    </row>
    <row r="28" spans="3:16" x14ac:dyDescent="0.25">
      <c r="D28" t="s">
        <v>257</v>
      </c>
      <c r="E28" s="62" t="s">
        <v>90</v>
      </c>
      <c r="I28" s="105">
        <v>3.4029617106540094E-2</v>
      </c>
      <c r="J28" s="105">
        <v>3.1262235083836805E-2</v>
      </c>
      <c r="K28" s="105">
        <v>3.7907656951843643E-2</v>
      </c>
      <c r="L28" s="105">
        <v>4.3902995177890383E-2</v>
      </c>
      <c r="M28" s="105">
        <v>4.9106633428559775E-2</v>
      </c>
      <c r="N28" s="105">
        <v>5.593324530131831E-2</v>
      </c>
      <c r="O28" s="105">
        <v>5.8409586534906063E-2</v>
      </c>
      <c r="P28" s="105">
        <v>6.5861340665147483E-2</v>
      </c>
    </row>
    <row r="29" spans="3:16" x14ac:dyDescent="0.25">
      <c r="D29" t="s">
        <v>258</v>
      </c>
      <c r="E29" s="62" t="s">
        <v>224</v>
      </c>
      <c r="I29" s="106">
        <v>1.6087536830441462</v>
      </c>
      <c r="J29" s="106">
        <v>1.1679328909942557</v>
      </c>
      <c r="K29" s="106">
        <v>1.2776316368979699</v>
      </c>
      <c r="L29" s="106">
        <v>1.5326648412236712</v>
      </c>
      <c r="M29" s="106">
        <v>1.5513802086151651</v>
      </c>
      <c r="N29" s="106">
        <v>1.4918384811352707</v>
      </c>
      <c r="O29" s="106">
        <v>1.4311921618127583</v>
      </c>
      <c r="P29" s="106">
        <v>1.3903554816551178</v>
      </c>
    </row>
    <row r="30" spans="3:16" x14ac:dyDescent="0.25">
      <c r="D30" t="s">
        <v>259</v>
      </c>
      <c r="E30" s="62" t="s">
        <v>264</v>
      </c>
      <c r="I30" s="104">
        <v>266.50335570470207</v>
      </c>
      <c r="J30" s="104">
        <v>49.63971313902298</v>
      </c>
      <c r="K30" s="104">
        <v>17.988980121002669</v>
      </c>
      <c r="L30" s="104">
        <v>7.4243939336276492</v>
      </c>
      <c r="M30" s="104">
        <v>4.8265027082188023</v>
      </c>
      <c r="N30" s="104">
        <v>3.6753671454070531</v>
      </c>
      <c r="O30" s="104">
        <v>3.0225070353985646</v>
      </c>
      <c r="P30" s="104">
        <v>2.586897259530534</v>
      </c>
    </row>
    <row r="32" spans="3:16" x14ac:dyDescent="0.25">
      <c r="C32" s="60" t="s">
        <v>267</v>
      </c>
      <c r="D32" s="60"/>
      <c r="E32" s="66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</row>
    <row r="34" spans="3:16" x14ac:dyDescent="0.25">
      <c r="C34" s="61" t="s">
        <v>62</v>
      </c>
    </row>
    <row r="35" spans="3:16" x14ac:dyDescent="0.25">
      <c r="D35" t="s">
        <v>261</v>
      </c>
      <c r="E35" s="62" t="s">
        <v>99</v>
      </c>
      <c r="I35">
        <v>3194.1</v>
      </c>
      <c r="J35">
        <v>3524.7</v>
      </c>
      <c r="K35">
        <v>3829.2</v>
      </c>
      <c r="L35">
        <v>4052.605</v>
      </c>
      <c r="M35">
        <v>4242.3911500000004</v>
      </c>
      <c r="N35">
        <v>4508.4235345000006</v>
      </c>
      <c r="O35">
        <v>4720.2184055350008</v>
      </c>
      <c r="P35">
        <v>5016.2185615760509</v>
      </c>
    </row>
    <row r="36" spans="3:16" x14ac:dyDescent="0.25">
      <c r="D36" t="s">
        <v>262</v>
      </c>
      <c r="E36" s="62" t="s">
        <v>90</v>
      </c>
      <c r="J36" s="56">
        <v>0.10350333427256508</v>
      </c>
      <c r="K36" s="56">
        <v>8.6390331092007777E-2</v>
      </c>
      <c r="L36" s="56">
        <v>5.834247362373346E-2</v>
      </c>
      <c r="M36" s="56">
        <v>4.68306558374183E-2</v>
      </c>
      <c r="N36" s="56">
        <v>6.270812263503811E-2</v>
      </c>
      <c r="O36" s="56">
        <v>4.6977589708303347E-2</v>
      </c>
      <c r="P36" s="56">
        <v>6.2708995773152365E-2</v>
      </c>
    </row>
    <row r="38" spans="3:16" x14ac:dyDescent="0.25">
      <c r="C38" s="61" t="s">
        <v>58</v>
      </c>
    </row>
    <row r="39" spans="3:16" x14ac:dyDescent="0.25">
      <c r="D39" t="s">
        <v>58</v>
      </c>
      <c r="E39" s="62" t="s">
        <v>99</v>
      </c>
      <c r="I39">
        <v>390.39999999999964</v>
      </c>
      <c r="J39">
        <v>418.29999999999944</v>
      </c>
      <c r="K39">
        <v>465.49999999999955</v>
      </c>
      <c r="L39">
        <v>566.43001298312402</v>
      </c>
      <c r="M39">
        <v>703.92353817787125</v>
      </c>
      <c r="N39">
        <v>887.85985104501378</v>
      </c>
      <c r="O39">
        <v>1045.3462668281895</v>
      </c>
      <c r="P39">
        <v>1256.3271823215182</v>
      </c>
    </row>
    <row r="40" spans="3:16" x14ac:dyDescent="0.25">
      <c r="D40" t="s">
        <v>262</v>
      </c>
      <c r="E40" s="62" t="s">
        <v>90</v>
      </c>
      <c r="J40" s="56">
        <v>7.1465163934425702E-2</v>
      </c>
      <c r="K40" s="56">
        <v>0.11283767630886965</v>
      </c>
      <c r="L40" s="56">
        <v>0.21682065087674451</v>
      </c>
      <c r="M40" s="56">
        <v>0.24273700553159716</v>
      </c>
      <c r="N40" s="56">
        <v>0.26130155178965553</v>
      </c>
      <c r="O40" s="56">
        <v>0.17737756200802846</v>
      </c>
      <c r="P40" s="56">
        <v>0.20182873578674676</v>
      </c>
    </row>
    <row r="41" spans="3:16" x14ac:dyDescent="0.25">
      <c r="D41" t="s">
        <v>254</v>
      </c>
      <c r="E41" s="62" t="s">
        <v>90</v>
      </c>
      <c r="I41" s="56">
        <v>0.12222535299458365</v>
      </c>
      <c r="J41" s="56">
        <v>0.11867676681703392</v>
      </c>
      <c r="K41" s="56">
        <v>0.12156586232111134</v>
      </c>
      <c r="L41" s="56">
        <v>0.13976936143125818</v>
      </c>
      <c r="M41" s="56">
        <v>0.16592612828212958</v>
      </c>
      <c r="N41" s="56">
        <v>0.19693354988740658</v>
      </c>
      <c r="O41" s="56">
        <v>0.22146141915857123</v>
      </c>
      <c r="P41" s="56">
        <v>0.25045303885777886</v>
      </c>
    </row>
    <row r="43" spans="3:16" x14ac:dyDescent="0.25">
      <c r="C43" s="61" t="s">
        <v>263</v>
      </c>
    </row>
    <row r="44" spans="3:16" x14ac:dyDescent="0.25">
      <c r="D44" t="s">
        <v>263</v>
      </c>
      <c r="E44" s="62" t="s">
        <v>99</v>
      </c>
      <c r="I44">
        <v>108.6939999999997</v>
      </c>
      <c r="J44">
        <v>110.18999999999959</v>
      </c>
      <c r="K44">
        <v>145.15599999999966</v>
      </c>
      <c r="L44">
        <v>239.33133010569728</v>
      </c>
      <c r="M44">
        <v>339.16871791075471</v>
      </c>
      <c r="N44">
        <v>460.19986326918036</v>
      </c>
      <c r="O44">
        <v>568.92757431002769</v>
      </c>
      <c r="P44">
        <v>716.26874509528079</v>
      </c>
    </row>
    <row r="45" spans="3:16" x14ac:dyDescent="0.25">
      <c r="D45" t="s">
        <v>262</v>
      </c>
      <c r="E45" s="62" t="s">
        <v>90</v>
      </c>
      <c r="J45" s="56">
        <v>1.3763409203818799E-2</v>
      </c>
      <c r="K45" s="56">
        <v>0.31732462110899551</v>
      </c>
      <c r="L45" s="56">
        <v>0.64878702985545078</v>
      </c>
      <c r="M45" s="56">
        <v>0.41715135147983196</v>
      </c>
      <c r="N45" s="56">
        <v>0.35684642765395758</v>
      </c>
      <c r="O45" s="56">
        <v>0.23626193686470143</v>
      </c>
      <c r="P45" s="56">
        <v>0.25898054064955889</v>
      </c>
    </row>
    <row r="46" spans="3:16" x14ac:dyDescent="0.25">
      <c r="D46" t="s">
        <v>257</v>
      </c>
      <c r="E46" s="62" t="s">
        <v>90</v>
      </c>
      <c r="I46" s="56">
        <v>3.4029617106540094E-2</v>
      </c>
      <c r="J46" s="56">
        <v>3.1262235083836805E-2</v>
      </c>
      <c r="K46" s="56">
        <v>3.7907656951843643E-2</v>
      </c>
      <c r="L46" s="56">
        <v>5.905617006979394E-2</v>
      </c>
      <c r="M46" s="56">
        <v>7.9947535698294742E-2</v>
      </c>
      <c r="N46" s="56">
        <v>0.10207556139026722</v>
      </c>
      <c r="O46" s="56">
        <v>0.12052992582777408</v>
      </c>
      <c r="P46" s="56">
        <v>0.14279057746443879</v>
      </c>
    </row>
    <row r="48" spans="3:16" x14ac:dyDescent="0.25">
      <c r="C48" s="61" t="s">
        <v>255</v>
      </c>
    </row>
    <row r="49" spans="3:16" x14ac:dyDescent="0.25">
      <c r="D49" t="s">
        <v>256</v>
      </c>
      <c r="E49" s="62" t="s">
        <v>90</v>
      </c>
      <c r="I49" s="105">
        <v>14.589798657718305</v>
      </c>
      <c r="J49" s="105">
        <v>1.8124547667609892</v>
      </c>
      <c r="K49" s="105">
        <v>0.87124267742245454</v>
      </c>
      <c r="L49" s="105">
        <v>0.60779185030573035</v>
      </c>
      <c r="M49" s="105">
        <v>0.49541189271637953</v>
      </c>
      <c r="N49" s="105">
        <v>0.43102239705206336</v>
      </c>
      <c r="O49" s="105">
        <v>0.37512678656557641</v>
      </c>
      <c r="P49" s="105">
        <v>0.34809560224774311</v>
      </c>
    </row>
    <row r="50" spans="3:16" x14ac:dyDescent="0.25">
      <c r="D50" t="s">
        <v>257</v>
      </c>
      <c r="E50" s="62" t="s">
        <v>90</v>
      </c>
      <c r="I50" s="105">
        <v>3.4029617106540094E-2</v>
      </c>
      <c r="J50" s="105">
        <v>3.1262235083836805E-2</v>
      </c>
      <c r="K50" s="105">
        <v>3.7907656951843643E-2</v>
      </c>
      <c r="L50" s="105">
        <v>5.905617006979394E-2</v>
      </c>
      <c r="M50" s="105">
        <v>7.9947535698294742E-2</v>
      </c>
      <c r="N50" s="105">
        <v>0.10207556139026722</v>
      </c>
      <c r="O50" s="105">
        <v>0.12052992582777408</v>
      </c>
      <c r="P50" s="105">
        <v>0.14279057746443879</v>
      </c>
    </row>
    <row r="51" spans="3:16" x14ac:dyDescent="0.25">
      <c r="D51" t="s">
        <v>258</v>
      </c>
      <c r="E51" s="62" t="s">
        <v>224</v>
      </c>
      <c r="I51" s="106">
        <v>1.6087536830441462</v>
      </c>
      <c r="J51" s="106">
        <v>1.1679328909942557</v>
      </c>
      <c r="K51" s="106">
        <v>1.2776316368979699</v>
      </c>
      <c r="L51" s="106">
        <v>1.5395495380951449</v>
      </c>
      <c r="M51" s="106">
        <v>1.5584004184752351</v>
      </c>
      <c r="N51" s="106">
        <v>1.5470459384733086</v>
      </c>
      <c r="O51" s="106">
        <v>1.4936926729304005</v>
      </c>
      <c r="P51" s="106">
        <v>1.4262791371237253</v>
      </c>
    </row>
    <row r="52" spans="3:16" x14ac:dyDescent="0.25">
      <c r="D52" t="s">
        <v>259</v>
      </c>
      <c r="E52" s="62" t="s">
        <v>264</v>
      </c>
      <c r="I52" s="104">
        <v>266.50335570470207</v>
      </c>
      <c r="J52" s="104">
        <v>49.63971313902298</v>
      </c>
      <c r="K52" s="104">
        <v>17.988980121002669</v>
      </c>
      <c r="L52" s="104">
        <v>6.684915564506932</v>
      </c>
      <c r="M52" s="104">
        <v>3.9763288131275232</v>
      </c>
      <c r="N52" s="104">
        <v>2.7294481632199949</v>
      </c>
      <c r="O52" s="104">
        <v>2.0836364054456729</v>
      </c>
      <c r="P52" s="104">
        <v>1.7092061900596922</v>
      </c>
    </row>
    <row r="55" spans="3:16" x14ac:dyDescent="0.25">
      <c r="C55" s="60" t="s">
        <v>268</v>
      </c>
      <c r="D55" s="60"/>
      <c r="E55" s="66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</row>
    <row r="57" spans="3:16" x14ac:dyDescent="0.25">
      <c r="C57" s="61" t="s">
        <v>62</v>
      </c>
    </row>
    <row r="58" spans="3:16" x14ac:dyDescent="0.25">
      <c r="D58" t="s">
        <v>261</v>
      </c>
      <c r="E58" s="62" t="s">
        <v>99</v>
      </c>
      <c r="I58">
        <v>3194.1</v>
      </c>
      <c r="J58">
        <v>3524.7</v>
      </c>
      <c r="K58">
        <v>3829.2</v>
      </c>
      <c r="L58">
        <v>3942.6950000000002</v>
      </c>
      <c r="M58">
        <v>4015.25155</v>
      </c>
      <c r="N58">
        <v>4150.7463214999998</v>
      </c>
      <c r="O58">
        <v>4227.3373211950002</v>
      </c>
      <c r="P58">
        <v>4369.4325882021494</v>
      </c>
    </row>
    <row r="59" spans="3:16" x14ac:dyDescent="0.25">
      <c r="D59" t="s">
        <v>262</v>
      </c>
      <c r="E59" s="62" t="s">
        <v>90</v>
      </c>
      <c r="J59" s="56">
        <v>0.10350333427256508</v>
      </c>
      <c r="K59" s="56">
        <v>8.6390331092007777E-2</v>
      </c>
      <c r="L59" s="56">
        <v>2.9639350255928232E-2</v>
      </c>
      <c r="M59" s="56">
        <v>1.8402780331727264E-2</v>
      </c>
      <c r="N59" s="56">
        <v>3.3745026883807538E-2</v>
      </c>
      <c r="O59" s="56">
        <v>1.8452344172004587E-2</v>
      </c>
      <c r="P59" s="56">
        <v>3.3613420508155967E-2</v>
      </c>
    </row>
    <row r="61" spans="3:16" x14ac:dyDescent="0.25">
      <c r="C61" s="61" t="s">
        <v>58</v>
      </c>
    </row>
    <row r="62" spans="3:16" x14ac:dyDescent="0.25">
      <c r="D62" t="s">
        <v>58</v>
      </c>
      <c r="E62" s="62" t="s">
        <v>99</v>
      </c>
      <c r="I62">
        <v>390.39999999999964</v>
      </c>
      <c r="J62">
        <v>418.29999999999944</v>
      </c>
      <c r="K62">
        <v>465.49999999999955</v>
      </c>
      <c r="L62">
        <v>400.33922506160934</v>
      </c>
      <c r="M62">
        <v>348.91332293876576</v>
      </c>
      <c r="N62">
        <v>325.31776353450914</v>
      </c>
      <c r="O62">
        <v>268.0187637007175</v>
      </c>
      <c r="P62">
        <v>238.57790232758271</v>
      </c>
    </row>
    <row r="63" spans="3:16" x14ac:dyDescent="0.25">
      <c r="D63" t="s">
        <v>262</v>
      </c>
      <c r="E63" s="62" t="s">
        <v>90</v>
      </c>
      <c r="J63" s="56">
        <v>7.1465163934425702E-2</v>
      </c>
      <c r="K63" s="56">
        <v>0.11283767630886965</v>
      </c>
      <c r="L63" s="56">
        <v>-0.13998018246700383</v>
      </c>
      <c r="M63" s="56">
        <v>-0.12845581672625139</v>
      </c>
      <c r="N63" s="56">
        <v>-6.7625848177765402E-2</v>
      </c>
      <c r="O63" s="56">
        <v>-0.17613240424147159</v>
      </c>
      <c r="P63" s="56">
        <v>-0.10984626959181809</v>
      </c>
    </row>
    <row r="64" spans="3:16" x14ac:dyDescent="0.25">
      <c r="D64" t="s">
        <v>254</v>
      </c>
      <c r="E64" s="62" t="s">
        <v>90</v>
      </c>
      <c r="I64" s="56">
        <v>0.12222535299458365</v>
      </c>
      <c r="J64" s="56">
        <v>0.11867676681703392</v>
      </c>
      <c r="K64" s="56">
        <v>0.12156586232111134</v>
      </c>
      <c r="L64" s="56">
        <v>0.10153948633145839</v>
      </c>
      <c r="M64" s="56">
        <v>8.6897002241059035E-2</v>
      </c>
      <c r="N64" s="56">
        <v>7.8375727721405428E-2</v>
      </c>
      <c r="O64" s="56">
        <v>6.3401319397183312E-2</v>
      </c>
      <c r="P64" s="56">
        <v>5.460157526443226E-2</v>
      </c>
    </row>
    <row r="66" spans="3:16" x14ac:dyDescent="0.25">
      <c r="C66" s="61" t="s">
        <v>263</v>
      </c>
    </row>
    <row r="67" spans="3:16" x14ac:dyDescent="0.25">
      <c r="D67" t="s">
        <v>263</v>
      </c>
      <c r="E67" s="62" t="s">
        <v>99</v>
      </c>
      <c r="I67">
        <v>108.6939999999997</v>
      </c>
      <c r="J67">
        <v>110.18999999999959</v>
      </c>
      <c r="K67">
        <v>145.15599999999966</v>
      </c>
      <c r="L67">
        <v>131.37231795671272</v>
      </c>
      <c r="M67">
        <v>106.77576004838517</v>
      </c>
      <c r="N67">
        <v>87.555568776318239</v>
      </c>
      <c r="O67">
        <v>45.428903892253345</v>
      </c>
      <c r="P67">
        <v>23.062796587681241</v>
      </c>
    </row>
    <row r="68" spans="3:16" x14ac:dyDescent="0.25">
      <c r="D68" t="s">
        <v>262</v>
      </c>
      <c r="E68" s="62" t="s">
        <v>90</v>
      </c>
      <c r="J68" s="56">
        <v>1.3763409203818799E-2</v>
      </c>
      <c r="K68" s="56">
        <v>0.31732462110899551</v>
      </c>
      <c r="L68" s="56">
        <v>-9.4957714757136991E-2</v>
      </c>
      <c r="M68" s="56">
        <v>-0.18722785965025102</v>
      </c>
      <c r="N68" s="56">
        <v>-0.18000519278305627</v>
      </c>
      <c r="O68" s="56">
        <v>-0.48114203896827612</v>
      </c>
      <c r="P68" s="56">
        <v>-0.49233209230887987</v>
      </c>
    </row>
    <row r="69" spans="3:16" x14ac:dyDescent="0.25">
      <c r="D69" t="s">
        <v>257</v>
      </c>
      <c r="E69" s="62" t="s">
        <v>90</v>
      </c>
      <c r="I69" s="56">
        <v>3.4029617106540094E-2</v>
      </c>
      <c r="J69" s="56">
        <v>3.1262235083836805E-2</v>
      </c>
      <c r="K69" s="56">
        <v>3.7907656951843643E-2</v>
      </c>
      <c r="L69" s="56">
        <v>3.3320436391025103E-2</v>
      </c>
      <c r="M69" s="56">
        <v>2.6592545627280854E-2</v>
      </c>
      <c r="N69" s="56">
        <v>2.1093933956599243E-2</v>
      </c>
      <c r="O69" s="56">
        <v>1.0746458217204991E-2</v>
      </c>
      <c r="P69" s="56">
        <v>5.2782131597482046E-3</v>
      </c>
    </row>
    <row r="71" spans="3:16" x14ac:dyDescent="0.25">
      <c r="C71" s="61" t="s">
        <v>255</v>
      </c>
    </row>
    <row r="72" spans="3:16" x14ac:dyDescent="0.25">
      <c r="D72" t="s">
        <v>256</v>
      </c>
      <c r="E72" s="62" t="s">
        <v>90</v>
      </c>
      <c r="I72" s="105">
        <v>14.589798657718305</v>
      </c>
      <c r="J72" s="105">
        <v>1.8124547667609892</v>
      </c>
      <c r="K72" s="105">
        <v>0.87124267742245454</v>
      </c>
      <c r="L72" s="105">
        <v>0.41007749447753683</v>
      </c>
      <c r="M72" s="105">
        <v>0.23561429518264176</v>
      </c>
      <c r="N72" s="105">
        <v>0.15021814096406746</v>
      </c>
      <c r="O72" s="105">
        <v>6.7223446960742533E-2</v>
      </c>
      <c r="P72" s="105">
        <v>3.1400090096894283E-2</v>
      </c>
    </row>
    <row r="73" spans="3:16" x14ac:dyDescent="0.25">
      <c r="D73" t="s">
        <v>257</v>
      </c>
      <c r="E73" s="62" t="s">
        <v>90</v>
      </c>
      <c r="I73" s="105">
        <v>3.4029617106540094E-2</v>
      </c>
      <c r="J73" s="105">
        <v>3.1262235083836805E-2</v>
      </c>
      <c r="K73" s="105">
        <v>3.7907656951843643E-2</v>
      </c>
      <c r="L73" s="105">
        <v>3.3320436391025103E-2</v>
      </c>
      <c r="M73" s="105">
        <v>2.6592545627280854E-2</v>
      </c>
      <c r="N73" s="105">
        <v>2.1093933956599243E-2</v>
      </c>
      <c r="O73" s="105">
        <v>1.0746458217204991E-2</v>
      </c>
      <c r="P73" s="105">
        <v>5.2782131597482046E-3</v>
      </c>
    </row>
    <row r="74" spans="3:16" x14ac:dyDescent="0.25">
      <c r="D74" t="s">
        <v>258</v>
      </c>
      <c r="E74" s="62" t="s">
        <v>224</v>
      </c>
      <c r="I74" s="106">
        <v>1.6087536830441462</v>
      </c>
      <c r="J74" s="106">
        <v>1.1679328909942557</v>
      </c>
      <c r="K74" s="106">
        <v>1.2776316368979699</v>
      </c>
      <c r="L74" s="106">
        <v>1.5296983287369197</v>
      </c>
      <c r="M74" s="106">
        <v>1.5160541989279117</v>
      </c>
      <c r="N74" s="106">
        <v>1.4414901700840956</v>
      </c>
      <c r="O74" s="106">
        <v>1.3675060054975534</v>
      </c>
      <c r="P74" s="106">
        <v>1.3137634509306131</v>
      </c>
    </row>
    <row r="75" spans="3:16" x14ac:dyDescent="0.25">
      <c r="D75" t="s">
        <v>259</v>
      </c>
      <c r="E75" s="62" t="s">
        <v>264</v>
      </c>
      <c r="I75" s="104">
        <v>266.50335570470207</v>
      </c>
      <c r="J75" s="104">
        <v>49.63971313902298</v>
      </c>
      <c r="K75" s="104">
        <v>17.988980121002669</v>
      </c>
      <c r="L75" s="104">
        <v>8.045433741202979</v>
      </c>
      <c r="M75" s="104">
        <v>5.8442259153254943</v>
      </c>
      <c r="N75" s="104">
        <v>4.940297652725735</v>
      </c>
      <c r="O75" s="104">
        <v>4.5743161894355842</v>
      </c>
      <c r="P75" s="104">
        <v>4.5282124400672972</v>
      </c>
    </row>
    <row r="77" spans="3:16" x14ac:dyDescent="0.25">
      <c r="C77" s="61" t="s">
        <v>269</v>
      </c>
    </row>
    <row r="78" spans="3:16" x14ac:dyDescent="0.25">
      <c r="C78" s="60" t="str">
        <f>"Summary Based on "&amp;LiveScenario</f>
        <v>Summary Based on Scenario: Base Case</v>
      </c>
      <c r="D78" s="60"/>
      <c r="E78" s="66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</row>
    <row r="80" spans="3:16" x14ac:dyDescent="0.25">
      <c r="C80" s="61" t="s">
        <v>62</v>
      </c>
    </row>
    <row r="81" spans="3:16" ht="15" customHeight="1" x14ac:dyDescent="0.25">
      <c r="D81" t="s">
        <v>261</v>
      </c>
      <c r="E81" s="62" t="str">
        <f>currency</f>
        <v>$'m</v>
      </c>
      <c r="I81">
        <f>Model!I11</f>
        <v>3194.1</v>
      </c>
      <c r="J81">
        <f>Model!J11</f>
        <v>3524.7</v>
      </c>
      <c r="K81">
        <f>Model!K11</f>
        <v>3829.2</v>
      </c>
      <c r="L81">
        <f>Model!L11</f>
        <v>3981.41</v>
      </c>
      <c r="M81">
        <f>Model!M11</f>
        <v>4094.4926</v>
      </c>
      <c r="N81">
        <f>Model!N11</f>
        <v>4274.2186499999998</v>
      </c>
      <c r="O81">
        <f>Model!O11</f>
        <v>4395.82857762</v>
      </c>
      <c r="P81">
        <f>Model!P11</f>
        <v>4588.1923667403998</v>
      </c>
    </row>
    <row r="82" spans="3:16" ht="15" customHeight="1" x14ac:dyDescent="0.25">
      <c r="D82" t="s">
        <v>262</v>
      </c>
      <c r="E82" s="62" t="s">
        <v>90</v>
      </c>
      <c r="J82" s="56">
        <f>J81/I81-1</f>
        <v>0.10350333427256508</v>
      </c>
      <c r="K82" s="56">
        <f t="shared" ref="K82:P82" si="1">K81/J81-1</f>
        <v>8.6390331092007777E-2</v>
      </c>
      <c r="L82" s="56">
        <f t="shared" si="1"/>
        <v>3.9749817194191905E-2</v>
      </c>
      <c r="M82" s="56">
        <f t="shared" si="1"/>
        <v>2.8402651322019024E-2</v>
      </c>
      <c r="N82" s="56">
        <f t="shared" si="1"/>
        <v>4.3894584154334559E-2</v>
      </c>
      <c r="O82" s="56">
        <f t="shared" si="1"/>
        <v>2.8451966915637339E-2</v>
      </c>
      <c r="P82" s="56">
        <f t="shared" si="1"/>
        <v>4.3760530176213175E-2</v>
      </c>
    </row>
    <row r="83" spans="3:16" ht="15" customHeight="1" x14ac:dyDescent="0.25"/>
    <row r="84" spans="3:16" ht="15" customHeight="1" x14ac:dyDescent="0.25">
      <c r="C84" s="61" t="s">
        <v>58</v>
      </c>
    </row>
    <row r="85" spans="3:16" ht="15" customHeight="1" x14ac:dyDescent="0.25">
      <c r="D85" t="s">
        <v>58</v>
      </c>
      <c r="E85" s="62" t="str">
        <f>currency</f>
        <v>$'m</v>
      </c>
      <c r="I85">
        <f>Model!I16</f>
        <v>390.39999999999964</v>
      </c>
      <c r="J85">
        <f>Model!J16</f>
        <v>418.29999999999944</v>
      </c>
      <c r="K85">
        <f>Model!K16</f>
        <v>465.49999999999955</v>
      </c>
      <c r="L85">
        <f>Model!L16</f>
        <v>467.14461902236599</v>
      </c>
      <c r="M85">
        <f>Model!M16</f>
        <v>492.3705844979263</v>
      </c>
      <c r="N85">
        <f>Model!N16</f>
        <v>552.15834246502391</v>
      </c>
      <c r="O85">
        <f>Model!O16</f>
        <v>580.71676239664976</v>
      </c>
      <c r="P85">
        <f>Model!P16</f>
        <v>646.30457413281965</v>
      </c>
    </row>
    <row r="86" spans="3:16" ht="15" customHeight="1" x14ac:dyDescent="0.25">
      <c r="D86" t="s">
        <v>262</v>
      </c>
      <c r="E86" s="62" t="s">
        <v>90</v>
      </c>
      <c r="J86" s="56">
        <f>J85/I85-1</f>
        <v>7.1465163934425702E-2</v>
      </c>
      <c r="K86" s="56">
        <f t="shared" ref="K86:P86" si="2">K85/J85-1</f>
        <v>0.11283767630886965</v>
      </c>
      <c r="L86" s="56">
        <f t="shared" si="2"/>
        <v>3.5330161597559862E-3</v>
      </c>
      <c r="M86" s="56">
        <f t="shared" si="2"/>
        <v>5.4000334047201282E-2</v>
      </c>
      <c r="N86" s="56">
        <f t="shared" si="2"/>
        <v>0.1214283709252526</v>
      </c>
      <c r="O86" s="56">
        <f t="shared" si="2"/>
        <v>5.172143158089626E-2</v>
      </c>
      <c r="P86" s="56">
        <f t="shared" si="2"/>
        <v>0.11294285955426098</v>
      </c>
    </row>
    <row r="87" spans="3:16" ht="15" customHeight="1" x14ac:dyDescent="0.25">
      <c r="D87" t="s">
        <v>254</v>
      </c>
      <c r="E87" s="62" t="s">
        <v>90</v>
      </c>
      <c r="I87" s="56">
        <f>Model!I29</f>
        <v>0.12222535299458365</v>
      </c>
      <c r="J87" s="56">
        <f>Model!J29</f>
        <v>0.11867676681703392</v>
      </c>
      <c r="K87" s="56">
        <f>Model!K29</f>
        <v>0.12156586232111134</v>
      </c>
      <c r="L87" s="56">
        <f>Model!L29</f>
        <v>0.11733145268193078</v>
      </c>
      <c r="M87" s="56">
        <f>Model!M29</f>
        <v>0.12025191705021675</v>
      </c>
      <c r="N87" s="56">
        <f>Model!N29</f>
        <v>0.12918345730044109</v>
      </c>
      <c r="O87" s="56">
        <f>Model!O29</f>
        <v>0.13210632583654178</v>
      </c>
      <c r="P87" s="56">
        <f>Model!P29</f>
        <v>0.14086257124218515</v>
      </c>
    </row>
    <row r="88" spans="3:16" ht="15" customHeight="1" x14ac:dyDescent="0.25"/>
    <row r="89" spans="3:16" ht="15" customHeight="1" x14ac:dyDescent="0.25">
      <c r="C89" s="61" t="s">
        <v>263</v>
      </c>
    </row>
    <row r="90" spans="3:16" ht="15" customHeight="1" x14ac:dyDescent="0.25">
      <c r="D90" t="s">
        <v>263</v>
      </c>
      <c r="E90" s="62" t="str">
        <f>currency</f>
        <v>$'m</v>
      </c>
      <c r="I90">
        <f>Model!I25</f>
        <v>108.6939999999997</v>
      </c>
      <c r="J90">
        <f>Model!J25</f>
        <v>110.18999999999959</v>
      </c>
      <c r="K90">
        <f>Model!K25</f>
        <v>145.15599999999966</v>
      </c>
      <c r="L90">
        <f>Model!L25</f>
        <v>177.09428509181063</v>
      </c>
      <c r="M90">
        <f>Model!M25</f>
        <v>203.52493310265359</v>
      </c>
      <c r="N90">
        <f>Model!N25</f>
        <v>235.69068491561501</v>
      </c>
      <c r="O90">
        <f>Model!O25</f>
        <v>247.71792226085248</v>
      </c>
      <c r="P90">
        <f>Model!P25</f>
        <v>284.44904051246795</v>
      </c>
    </row>
    <row r="91" spans="3:16" ht="15" customHeight="1" x14ac:dyDescent="0.25">
      <c r="D91" t="s">
        <v>262</v>
      </c>
      <c r="E91" s="62" t="s">
        <v>90</v>
      </c>
      <c r="J91" s="56">
        <f>J90/I90-1</f>
        <v>1.3763409203818799E-2</v>
      </c>
      <c r="K91" s="56">
        <f t="shared" ref="K91" si="3">K90/J90-1</f>
        <v>0.31732462110899551</v>
      </c>
      <c r="L91" s="56">
        <f t="shared" ref="L91" si="4">L90/K90-1</f>
        <v>0.22002731607243953</v>
      </c>
      <c r="M91" s="56">
        <f t="shared" ref="M91" si="5">M90/L90-1</f>
        <v>0.14924619389688698</v>
      </c>
      <c r="N91" s="56">
        <f t="shared" ref="N91" si="6">N90/M90-1</f>
        <v>0.15804329878707146</v>
      </c>
      <c r="O91" s="56">
        <f t="shared" ref="O91" si="7">O90/N90-1</f>
        <v>5.1029752616415847E-2</v>
      </c>
      <c r="P91" s="56">
        <f t="shared" ref="P91" si="8">P90/O90-1</f>
        <v>0.14827800070491781</v>
      </c>
    </row>
    <row r="92" spans="3:16" ht="15" customHeight="1" x14ac:dyDescent="0.25">
      <c r="D92" t="s">
        <v>257</v>
      </c>
      <c r="E92" s="62" t="s">
        <v>90</v>
      </c>
      <c r="I92" s="56">
        <f>Model!I32</f>
        <v>3.4029617106540094E-2</v>
      </c>
      <c r="J92" s="56">
        <f>Model!J32</f>
        <v>3.1262235083836805E-2</v>
      </c>
      <c r="K92" s="56">
        <f>Model!K32</f>
        <v>3.7907656951843643E-2</v>
      </c>
      <c r="L92" s="56">
        <f>Model!L32</f>
        <v>4.4480293436699722E-2</v>
      </c>
      <c r="M92" s="56">
        <f>Model!M32</f>
        <v>4.9706997419571256E-2</v>
      </c>
      <c r="N92" s="56">
        <f>Model!N32</f>
        <v>5.5142402440178165E-2</v>
      </c>
      <c r="O92" s="56">
        <f>Model!O32</f>
        <v>5.6352953234353034E-2</v>
      </c>
      <c r="P92" s="56">
        <f>Model!P32</f>
        <v>6.1995883732867491E-2</v>
      </c>
    </row>
    <row r="93" spans="3:16" ht="15" customHeight="1" x14ac:dyDescent="0.25"/>
    <row r="94" spans="3:16" ht="15" customHeight="1" x14ac:dyDescent="0.25">
      <c r="C94" s="61" t="s">
        <v>255</v>
      </c>
    </row>
    <row r="95" spans="3:16" ht="15" customHeight="1" x14ac:dyDescent="0.25">
      <c r="D95" t="str">
        <f>Model!D31</f>
        <v>ROE</v>
      </c>
      <c r="E95" s="62" t="str">
        <f>Model!E31</f>
        <v>%age</v>
      </c>
      <c r="I95" s="105">
        <f>Model!I31</f>
        <v>14.589798657718305</v>
      </c>
      <c r="J95" s="105">
        <f>Model!J31</f>
        <v>1.8124547667609892</v>
      </c>
      <c r="K95" s="105">
        <f>Model!K31</f>
        <v>0.87124267742245454</v>
      </c>
      <c r="L95" s="105">
        <f>Model!L31</f>
        <v>0.72857836309826596</v>
      </c>
      <c r="M95" s="105">
        <f>Model!M31</f>
        <v>0.54785009178507449</v>
      </c>
      <c r="N95" s="105">
        <f>Model!N31</f>
        <v>0.43899052905075231</v>
      </c>
      <c r="O95" s="105">
        <f>Model!O31</f>
        <v>0.35010221174029676</v>
      </c>
      <c r="P95" s="105">
        <f>Model!P31</f>
        <v>0.31595076324374283</v>
      </c>
    </row>
    <row r="96" spans="3:16" ht="15" customHeight="1" x14ac:dyDescent="0.25">
      <c r="D96" t="str">
        <f>Model!D32</f>
        <v>Net Profit Margin</v>
      </c>
      <c r="E96" s="62" t="str">
        <f>Model!E32</f>
        <v>%age</v>
      </c>
      <c r="I96" s="105">
        <f>Model!I32</f>
        <v>3.4029617106540094E-2</v>
      </c>
      <c r="J96" s="105">
        <f>Model!J32</f>
        <v>3.1262235083836805E-2</v>
      </c>
      <c r="K96" s="105">
        <f>Model!K32</f>
        <v>3.7907656951843643E-2</v>
      </c>
      <c r="L96" s="105">
        <f>Model!L32</f>
        <v>4.4480293436699722E-2</v>
      </c>
      <c r="M96" s="105">
        <f>Model!M32</f>
        <v>4.9706997419571256E-2</v>
      </c>
      <c r="N96" s="105">
        <f>Model!N32</f>
        <v>5.5142402440178165E-2</v>
      </c>
      <c r="O96" s="105">
        <f>Model!O32</f>
        <v>5.6352953234353034E-2</v>
      </c>
      <c r="P96" s="105">
        <f>Model!P32</f>
        <v>6.1995883732867491E-2</v>
      </c>
    </row>
    <row r="97" spans="4:16" ht="15" customHeight="1" x14ac:dyDescent="0.25">
      <c r="D97" t="str">
        <f>Model!D33</f>
        <v>Asset Turnover</v>
      </c>
      <c r="E97" s="62" t="str">
        <f>Model!E33</f>
        <v>multiple</v>
      </c>
      <c r="I97" s="106">
        <f>Model!I33</f>
        <v>1.6087536830441462</v>
      </c>
      <c r="J97" s="106">
        <f>Model!J33</f>
        <v>1.1679328909942557</v>
      </c>
      <c r="K97" s="106">
        <f>Model!K33</f>
        <v>1.2776316368979699</v>
      </c>
      <c r="L97" s="106">
        <f>Model!L33</f>
        <v>1.5983918505736585</v>
      </c>
      <c r="M97" s="106">
        <f>Model!M33</f>
        <v>1.5450557063814176</v>
      </c>
      <c r="N97" s="106">
        <f>Model!N33</f>
        <v>1.4825629704441747</v>
      </c>
      <c r="O97" s="106">
        <f>Model!O33</f>
        <v>1.421433581654107</v>
      </c>
      <c r="P97" s="106">
        <f>Model!P33</f>
        <v>1.3839486758049682</v>
      </c>
    </row>
    <row r="98" spans="4:16" ht="15" customHeight="1" x14ac:dyDescent="0.25">
      <c r="D98" t="str">
        <f>Model!D34</f>
        <v>Financial Leverage</v>
      </c>
      <c r="E98" s="62" t="str">
        <f>Model!E34</f>
        <v>ratio</v>
      </c>
      <c r="I98" s="104">
        <f>Model!I34</f>
        <v>266.50335570470207</v>
      </c>
      <c r="J98" s="104">
        <f>Model!J34</f>
        <v>49.63971313902298</v>
      </c>
      <c r="K98" s="104">
        <f>Model!K34</f>
        <v>17.988980121002669</v>
      </c>
      <c r="L98" s="104">
        <f>Model!L34</f>
        <v>10.247675611022478</v>
      </c>
      <c r="M98" s="104">
        <f>Model!M34</f>
        <v>7.1334573051531862</v>
      </c>
      <c r="N98" s="104">
        <f>Model!N34</f>
        <v>5.3697778428519172</v>
      </c>
      <c r="O98" s="104">
        <f>Model!O34</f>
        <v>4.3707060808349709</v>
      </c>
      <c r="P98" s="104">
        <f>Model!P34</f>
        <v>3.682447545314643</v>
      </c>
    </row>
  </sheetData>
  <mergeCells count="2">
    <mergeCell ref="J4:K4"/>
    <mergeCell ref="L4:M4"/>
  </mergeCells>
  <pageMargins left="0.70866141732283472" right="0.70866141732283472" top="0.74803149606299213" bottom="0.74803149606299213" header="0.31496062992125984" footer="0.31496062992125984"/>
  <pageSetup scale="81" fitToHeight="0" orientation="landscape" r:id="rId1"/>
  <headerFooter>
    <oddFooter>&amp;LFED Manufacturing&amp;CPage &amp;P of &amp;N&amp;RPrinted on &amp;D at &amp;T</oddFooter>
  </headerFooter>
  <rowBreaks count="3" manualBreakCount="3">
    <brk id="31" max="16383" man="1"/>
    <brk id="53" max="16383" man="1"/>
    <brk id="76" max="16383" man="1"/>
  </rowBreaks>
  <colBreaks count="2" manualBreakCount="2">
    <brk id="1" max="1048575" man="1"/>
    <brk id="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14</xdr:col>
                    <xdr:colOff>526694</xdr:colOff>
                    <xdr:row>1</xdr:row>
                    <xdr:rowOff>21946</xdr:rowOff>
                  </from>
                  <to>
                    <xdr:col>15</xdr:col>
                    <xdr:colOff>555955</xdr:colOff>
                    <xdr:row>1</xdr:row>
                    <xdr:rowOff>248717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4DECAE44-5356-41BE-9676-5CFB526D505A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Summary!I81:P81</xm:f>
              <xm:sqref>F81</xm:sqref>
            </x14:sparkline>
            <x14:sparkline>
              <xm:f>Summary!I82:P82</xm:f>
              <xm:sqref>F82</xm:sqref>
            </x14:sparkline>
            <x14:sparkline>
              <xm:f>Summary!I83:P83</xm:f>
              <xm:sqref>F83</xm:sqref>
            </x14:sparkline>
            <x14:sparkline>
              <xm:f>Summary!I84:P84</xm:f>
              <xm:sqref>F84</xm:sqref>
            </x14:sparkline>
            <x14:sparkline>
              <xm:f>Summary!I85:P85</xm:f>
              <xm:sqref>F85</xm:sqref>
            </x14:sparkline>
            <x14:sparkline>
              <xm:f>Summary!I86:P86</xm:f>
              <xm:sqref>F86</xm:sqref>
            </x14:sparkline>
            <x14:sparkline>
              <xm:f>Summary!I87:P87</xm:f>
              <xm:sqref>F87</xm:sqref>
            </x14:sparkline>
            <x14:sparkline>
              <xm:f>Summary!I88:P88</xm:f>
              <xm:sqref>F88</xm:sqref>
            </x14:sparkline>
            <x14:sparkline>
              <xm:f>Summary!I89:P89</xm:f>
              <xm:sqref>F89</xm:sqref>
            </x14:sparkline>
            <x14:sparkline>
              <xm:f>Summary!I90:P90</xm:f>
              <xm:sqref>F90</xm:sqref>
            </x14:sparkline>
            <x14:sparkline>
              <xm:f>Summary!I91:P91</xm:f>
              <xm:sqref>F91</xm:sqref>
            </x14:sparkline>
            <x14:sparkline>
              <xm:f>Summary!I92:P92</xm:f>
              <xm:sqref>F92</xm:sqref>
            </x14:sparkline>
            <x14:sparkline>
              <xm:f>Summary!I93:P93</xm:f>
              <xm:sqref>F93</xm:sqref>
            </x14:sparkline>
            <x14:sparkline>
              <xm:f>Summary!I94:P94</xm:f>
              <xm:sqref>F94</xm:sqref>
            </x14:sparkline>
            <x14:sparkline>
              <xm:f>Summary!I95:P95</xm:f>
              <xm:sqref>F95</xm:sqref>
            </x14:sparkline>
            <x14:sparkline>
              <xm:f>Summary!I96:P96</xm:f>
              <xm:sqref>F96</xm:sqref>
            </x14:sparkline>
            <x14:sparkline>
              <xm:f>Summary!I97:P97</xm:f>
              <xm:sqref>F97</xm:sqref>
            </x14:sparkline>
            <x14:sparkline>
              <xm:f>Summary!I98:P98</xm:f>
              <xm:sqref>F98</xm:sqref>
            </x14:sparkline>
          </x14:sparklines>
        </x14:sparklineGroup>
        <x14:sparklineGroup displayEmptyCellsAs="gap" high="1" low="1" xr2:uid="{F6594460-8E61-4C6B-92EF-EC7DD46BAE5C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Summary!I13:P13</xm:f>
              <xm:sqref>F13</xm:sqref>
            </x14:sparkline>
            <x14:sparkline>
              <xm:f>Summary!I14:P14</xm:f>
              <xm:sqref>F14</xm:sqref>
            </x14:sparkline>
            <x14:sparkline>
              <xm:f>Summary!I15:P15</xm:f>
              <xm:sqref>F15</xm:sqref>
            </x14:sparkline>
            <x14:sparkline>
              <xm:f>Summary!I16:P16</xm:f>
              <xm:sqref>F16</xm:sqref>
            </x14:sparkline>
            <x14:sparkline>
              <xm:f>Summary!I17:P17</xm:f>
              <xm:sqref>F17</xm:sqref>
            </x14:sparkline>
            <x14:sparkline>
              <xm:f>Summary!I18:P18</xm:f>
              <xm:sqref>F18</xm:sqref>
            </x14:sparkline>
            <x14:sparkline>
              <xm:f>Summary!I19:P19</xm:f>
              <xm:sqref>F19</xm:sqref>
            </x14:sparkline>
            <x14:sparkline>
              <xm:f>Summary!I20:P20</xm:f>
              <xm:sqref>F20</xm:sqref>
            </x14:sparkline>
            <x14:sparkline>
              <xm:f>Summary!I21:P21</xm:f>
              <xm:sqref>F21</xm:sqref>
            </x14:sparkline>
            <x14:sparkline>
              <xm:f>Summary!I22:P22</xm:f>
              <xm:sqref>F22</xm:sqref>
            </x14:sparkline>
            <x14:sparkline>
              <xm:f>Summary!I23:P23</xm:f>
              <xm:sqref>F23</xm:sqref>
            </x14:sparkline>
            <x14:sparkline>
              <xm:f>Summary!I24:P24</xm:f>
              <xm:sqref>F24</xm:sqref>
            </x14:sparkline>
            <x14:sparkline>
              <xm:f>Summary!I25:P25</xm:f>
              <xm:sqref>F25</xm:sqref>
            </x14:sparkline>
            <x14:sparkline>
              <xm:f>Summary!I26:P26</xm:f>
              <xm:sqref>F26</xm:sqref>
            </x14:sparkline>
            <x14:sparkline>
              <xm:f>Summary!I27:P27</xm:f>
              <xm:sqref>F27</xm:sqref>
            </x14:sparkline>
            <x14:sparkline>
              <xm:f>Summary!I28:P28</xm:f>
              <xm:sqref>F28</xm:sqref>
            </x14:sparkline>
            <x14:sparkline>
              <xm:f>Summary!I29:P29</xm:f>
              <xm:sqref>F29</xm:sqref>
            </x14:sparkline>
            <x14:sparkline>
              <xm:f>Summary!I30:P30</xm:f>
              <xm:sqref>F30</xm:sqref>
            </x14:sparkline>
          </x14:sparklines>
        </x14:sparklineGroup>
        <x14:sparklineGroup displayEmptyCellsAs="gap" high="1" low="1" xr2:uid="{5B423ACA-1563-4B7C-BB7F-3E1B5FCCE348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Summary!I35:P35</xm:f>
              <xm:sqref>F35</xm:sqref>
            </x14:sparkline>
            <x14:sparkline>
              <xm:f>Summary!I36:P36</xm:f>
              <xm:sqref>F36</xm:sqref>
            </x14:sparkline>
            <x14:sparkline>
              <xm:f>Summary!I37:P37</xm:f>
              <xm:sqref>F37</xm:sqref>
            </x14:sparkline>
            <x14:sparkline>
              <xm:f>Summary!I38:P38</xm:f>
              <xm:sqref>F38</xm:sqref>
            </x14:sparkline>
            <x14:sparkline>
              <xm:f>Summary!I39:P39</xm:f>
              <xm:sqref>F39</xm:sqref>
            </x14:sparkline>
            <x14:sparkline>
              <xm:f>Summary!I40:P40</xm:f>
              <xm:sqref>F40</xm:sqref>
            </x14:sparkline>
            <x14:sparkline>
              <xm:f>Summary!I41:P41</xm:f>
              <xm:sqref>F41</xm:sqref>
            </x14:sparkline>
            <x14:sparkline>
              <xm:f>Summary!I42:P42</xm:f>
              <xm:sqref>F42</xm:sqref>
            </x14:sparkline>
            <x14:sparkline>
              <xm:f>Summary!I43:P43</xm:f>
              <xm:sqref>F43</xm:sqref>
            </x14:sparkline>
            <x14:sparkline>
              <xm:f>Summary!I44:P44</xm:f>
              <xm:sqref>F44</xm:sqref>
            </x14:sparkline>
            <x14:sparkline>
              <xm:f>Summary!I45:P45</xm:f>
              <xm:sqref>F45</xm:sqref>
            </x14:sparkline>
            <x14:sparkline>
              <xm:f>Summary!I46:P46</xm:f>
              <xm:sqref>F46</xm:sqref>
            </x14:sparkline>
            <x14:sparkline>
              <xm:f>Summary!I47:P47</xm:f>
              <xm:sqref>F47</xm:sqref>
            </x14:sparkline>
            <x14:sparkline>
              <xm:f>Summary!I48:P48</xm:f>
              <xm:sqref>F48</xm:sqref>
            </x14:sparkline>
            <x14:sparkline>
              <xm:f>Summary!I49:P49</xm:f>
              <xm:sqref>F49</xm:sqref>
            </x14:sparkline>
            <x14:sparkline>
              <xm:f>Summary!I50:P50</xm:f>
              <xm:sqref>F50</xm:sqref>
            </x14:sparkline>
            <x14:sparkline>
              <xm:f>Summary!I51:P51</xm:f>
              <xm:sqref>F51</xm:sqref>
            </x14:sparkline>
            <x14:sparkline>
              <xm:f>Summary!I52:P52</xm:f>
              <xm:sqref>F52</xm:sqref>
            </x14:sparkline>
          </x14:sparklines>
        </x14:sparklineGroup>
        <x14:sparklineGroup displayEmptyCellsAs="gap" high="1" low="1" xr2:uid="{43FBF984-D7FD-49DB-B9A9-B46FEFDC1FF6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Summary!I58:P58</xm:f>
              <xm:sqref>F58</xm:sqref>
            </x14:sparkline>
            <x14:sparkline>
              <xm:f>Summary!I59:P59</xm:f>
              <xm:sqref>F59</xm:sqref>
            </x14:sparkline>
            <x14:sparkline>
              <xm:f>Summary!I60:P60</xm:f>
              <xm:sqref>F60</xm:sqref>
            </x14:sparkline>
            <x14:sparkline>
              <xm:f>Summary!I61:P61</xm:f>
              <xm:sqref>F61</xm:sqref>
            </x14:sparkline>
            <x14:sparkline>
              <xm:f>Summary!I62:P62</xm:f>
              <xm:sqref>F62</xm:sqref>
            </x14:sparkline>
            <x14:sparkline>
              <xm:f>Summary!I63:P63</xm:f>
              <xm:sqref>F63</xm:sqref>
            </x14:sparkline>
            <x14:sparkline>
              <xm:f>Summary!I64:P64</xm:f>
              <xm:sqref>F64</xm:sqref>
            </x14:sparkline>
            <x14:sparkline>
              <xm:f>Summary!I65:P65</xm:f>
              <xm:sqref>F65</xm:sqref>
            </x14:sparkline>
            <x14:sparkline>
              <xm:f>Summary!I66:P66</xm:f>
              <xm:sqref>F66</xm:sqref>
            </x14:sparkline>
            <x14:sparkline>
              <xm:f>Summary!I67:P67</xm:f>
              <xm:sqref>F67</xm:sqref>
            </x14:sparkline>
            <x14:sparkline>
              <xm:f>Summary!I68:P68</xm:f>
              <xm:sqref>F68</xm:sqref>
            </x14:sparkline>
            <x14:sparkline>
              <xm:f>Summary!I69:P69</xm:f>
              <xm:sqref>F69</xm:sqref>
            </x14:sparkline>
            <x14:sparkline>
              <xm:f>Summary!I70:P70</xm:f>
              <xm:sqref>F70</xm:sqref>
            </x14:sparkline>
            <x14:sparkline>
              <xm:f>Summary!I71:P71</xm:f>
              <xm:sqref>F71</xm:sqref>
            </x14:sparkline>
            <x14:sparkline>
              <xm:f>Summary!I72:P72</xm:f>
              <xm:sqref>F72</xm:sqref>
            </x14:sparkline>
            <x14:sparkline>
              <xm:f>Summary!I73:P73</xm:f>
              <xm:sqref>F73</xm:sqref>
            </x14:sparkline>
            <x14:sparkline>
              <xm:f>Summary!I74:P74</xm:f>
              <xm:sqref>F74</xm:sqref>
            </x14:sparkline>
            <x14:sparkline>
              <xm:f>Summary!I75:P75</xm:f>
              <xm:sqref>F75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4C34-0A35-407A-AB2A-B4CA5743D5CF}">
  <sheetPr>
    <pageSetUpPr fitToPage="1"/>
  </sheetPr>
  <dimension ref="A1:Q131"/>
  <sheetViews>
    <sheetView showGridLines="0" zoomScaleNormal="100" workbookViewId="0">
      <pane ySplit="7" topLeftCell="A19" activePane="bottomLeft" state="frozen"/>
      <selection activeCell="M118" sqref="L118:P118"/>
      <selection pane="bottomLeft" activeCell="K38" sqref="K38"/>
    </sheetView>
  </sheetViews>
  <sheetFormatPr defaultRowHeight="13.85" x14ac:dyDescent="0.25"/>
  <cols>
    <col min="1" max="1" width="0.54296875" customWidth="1"/>
    <col min="2" max="3" width="1.81640625" customWidth="1"/>
    <col min="4" max="4" width="33.1796875" customWidth="1"/>
    <col min="5" max="5" width="8.6328125" style="62"/>
    <col min="6" max="6" width="15" customWidth="1"/>
    <col min="7" max="8" width="1.6328125" customWidth="1"/>
    <col min="10" max="10" width="9.453125" customWidth="1"/>
    <col min="11" max="12" width="10.453125" customWidth="1"/>
    <col min="13" max="13" width="10.26953125" customWidth="1"/>
    <col min="14" max="16" width="10.453125" customWidth="1"/>
  </cols>
  <sheetData>
    <row r="1" spans="1:17" ht="4.05" customHeight="1" x14ac:dyDescent="0.25">
      <c r="E1"/>
    </row>
    <row r="2" spans="1:17" ht="26.5" x14ac:dyDescent="0.55000000000000004">
      <c r="A2" s="48"/>
      <c r="B2" s="49" t="str">
        <f>Hist!B1</f>
        <v>FED Manufacturing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7" x14ac:dyDescent="0.25">
      <c r="A3" s="48"/>
      <c r="B3" s="53" t="s">
        <v>82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7" x14ac:dyDescent="0.25">
      <c r="A4" s="48"/>
      <c r="B4" s="48"/>
      <c r="C4" s="48"/>
      <c r="D4" s="48"/>
      <c r="E4" s="48"/>
      <c r="F4" s="48"/>
      <c r="G4" s="48"/>
      <c r="H4" s="48"/>
      <c r="I4" s="48"/>
      <c r="J4" s="168" t="str">
        <f>"BS Check "&amp;BS_Check</f>
        <v>BS Check OK</v>
      </c>
      <c r="K4" s="169"/>
      <c r="L4" s="168" t="str">
        <f>LiveScenario</f>
        <v>Scenario: Base Case</v>
      </c>
      <c r="M4" s="169"/>
      <c r="N4" s="48"/>
      <c r="O4" s="48"/>
      <c r="P4" s="48"/>
    </row>
    <row r="5" spans="1:17" ht="3.05" customHeight="1" x14ac:dyDescent="0.25">
      <c r="E5"/>
    </row>
    <row r="6" spans="1:17" x14ac:dyDescent="0.25">
      <c r="E6"/>
      <c r="I6" s="50" t="s">
        <v>76</v>
      </c>
      <c r="J6" s="50" t="s">
        <v>76</v>
      </c>
      <c r="K6" s="50" t="s">
        <v>76</v>
      </c>
      <c r="L6" s="50" t="s">
        <v>77</v>
      </c>
      <c r="M6" s="50" t="s">
        <v>77</v>
      </c>
      <c r="N6" s="50" t="s">
        <v>77</v>
      </c>
      <c r="O6" s="50" t="s">
        <v>77</v>
      </c>
      <c r="P6" s="50" t="s">
        <v>77</v>
      </c>
    </row>
    <row r="7" spans="1:17" ht="14.4" x14ac:dyDescent="0.3">
      <c r="D7" s="54" t="s">
        <v>78</v>
      </c>
      <c r="E7" s="54" t="s">
        <v>73</v>
      </c>
      <c r="F7" s="54" t="s">
        <v>74</v>
      </c>
      <c r="I7" s="51">
        <f>Hist!G6</f>
        <v>2022</v>
      </c>
      <c r="J7" s="51">
        <f>Hist!H6</f>
        <v>2023</v>
      </c>
      <c r="K7" s="51">
        <f>Hist!I6</f>
        <v>2024</v>
      </c>
      <c r="L7" s="52">
        <f>K7+1</f>
        <v>2025</v>
      </c>
      <c r="M7" s="52">
        <f t="shared" ref="M7:P7" si="0">L7+1</f>
        <v>2026</v>
      </c>
      <c r="N7" s="52">
        <f t="shared" si="0"/>
        <v>2027</v>
      </c>
      <c r="O7" s="52">
        <f t="shared" si="0"/>
        <v>2028</v>
      </c>
      <c r="P7" s="52">
        <f t="shared" si="0"/>
        <v>2029</v>
      </c>
      <c r="Q7" s="47"/>
    </row>
    <row r="8" spans="1:17" x14ac:dyDescent="0.25">
      <c r="E8"/>
    </row>
    <row r="9" spans="1:17" ht="17.3" thickBot="1" x14ac:dyDescent="0.35">
      <c r="B9" s="59" t="s">
        <v>82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17" x14ac:dyDescent="0.25">
      <c r="C10" s="60" t="s">
        <v>83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17" x14ac:dyDescent="0.25">
      <c r="D11" t="s">
        <v>108</v>
      </c>
      <c r="E11" s="62" t="s">
        <v>109</v>
      </c>
      <c r="I11" s="64">
        <f>DATE(I7,12,31)-DATE(I7,1,1)+1</f>
        <v>365</v>
      </c>
      <c r="J11" s="64">
        <f t="shared" ref="J11:P11" si="1">DATE(J7,12,31)-DATE(J7,1,1)+1</f>
        <v>365</v>
      </c>
      <c r="K11" s="64">
        <f t="shared" si="1"/>
        <v>366</v>
      </c>
      <c r="L11" s="64">
        <f t="shared" si="1"/>
        <v>365</v>
      </c>
      <c r="M11" s="64">
        <f t="shared" si="1"/>
        <v>365</v>
      </c>
      <c r="N11" s="64">
        <f t="shared" si="1"/>
        <v>365</v>
      </c>
      <c r="O11" s="64">
        <f t="shared" si="1"/>
        <v>366</v>
      </c>
      <c r="P11" s="64">
        <f t="shared" si="1"/>
        <v>365</v>
      </c>
    </row>
    <row r="12" spans="1:17" x14ac:dyDescent="0.25">
      <c r="D12" t="s">
        <v>110</v>
      </c>
      <c r="E12" s="62" t="s">
        <v>112</v>
      </c>
      <c r="F12" s="55">
        <v>1000000</v>
      </c>
    </row>
    <row r="13" spans="1:17" x14ac:dyDescent="0.25">
      <c r="D13" t="s">
        <v>111</v>
      </c>
      <c r="E13" s="62" t="s">
        <v>112</v>
      </c>
      <c r="F13" s="55">
        <v>1000</v>
      </c>
    </row>
    <row r="14" spans="1:17" x14ac:dyDescent="0.25">
      <c r="E14"/>
    </row>
    <row r="15" spans="1:17" x14ac:dyDescent="0.25">
      <c r="E15"/>
    </row>
    <row r="16" spans="1:17" x14ac:dyDescent="0.25">
      <c r="C16" s="60" t="s">
        <v>84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spans="3:16" x14ac:dyDescent="0.25">
      <c r="D17" t="s">
        <v>85</v>
      </c>
      <c r="E17" s="62" t="s">
        <v>86</v>
      </c>
      <c r="F17">
        <v>1234.5</v>
      </c>
    </row>
    <row r="18" spans="3:16" x14ac:dyDescent="0.25">
      <c r="D18" t="s">
        <v>87</v>
      </c>
      <c r="E18" s="62" t="s">
        <v>86</v>
      </c>
      <c r="F18" s="55"/>
    </row>
    <row r="19" spans="3:16" x14ac:dyDescent="0.25">
      <c r="D19" t="s">
        <v>88</v>
      </c>
      <c r="E19" s="62" t="s">
        <v>90</v>
      </c>
      <c r="F19" s="56">
        <v>0.05</v>
      </c>
    </row>
    <row r="20" spans="3:16" x14ac:dyDescent="0.25">
      <c r="D20" t="s">
        <v>89</v>
      </c>
      <c r="E20" s="62" t="s">
        <v>91</v>
      </c>
      <c r="F20" s="57">
        <v>5</v>
      </c>
    </row>
    <row r="21" spans="3:16" x14ac:dyDescent="0.25">
      <c r="D21" t="s">
        <v>92</v>
      </c>
      <c r="E21" s="62" t="s">
        <v>86</v>
      </c>
      <c r="F21" s="58"/>
    </row>
    <row r="22" spans="3:16" x14ac:dyDescent="0.25">
      <c r="D22" t="s">
        <v>73</v>
      </c>
      <c r="E22" s="62" t="s">
        <v>93</v>
      </c>
      <c r="F22" s="62" t="s">
        <v>93</v>
      </c>
    </row>
    <row r="23" spans="3:16" ht="17.3" thickBot="1" x14ac:dyDescent="0.35">
      <c r="D23" t="s">
        <v>94</v>
      </c>
      <c r="E23" s="62" t="s">
        <v>93</v>
      </c>
      <c r="F23" s="59" t="s">
        <v>93</v>
      </c>
    </row>
    <row r="24" spans="3:16" x14ac:dyDescent="0.25">
      <c r="D24" t="s">
        <v>95</v>
      </c>
      <c r="E24" s="62" t="s">
        <v>93</v>
      </c>
      <c r="F24" s="60" t="s">
        <v>93</v>
      </c>
    </row>
    <row r="25" spans="3:16" x14ac:dyDescent="0.25">
      <c r="D25" t="s">
        <v>96</v>
      </c>
      <c r="E25" s="62" t="s">
        <v>93</v>
      </c>
      <c r="F25" s="61" t="s">
        <v>93</v>
      </c>
    </row>
    <row r="26" spans="3:16" x14ac:dyDescent="0.25">
      <c r="D26" t="s">
        <v>97</v>
      </c>
      <c r="E26" s="62" t="s">
        <v>98</v>
      </c>
      <c r="F26" t="s">
        <v>99</v>
      </c>
    </row>
    <row r="27" spans="3:16" x14ac:dyDescent="0.25">
      <c r="D27" t="s">
        <v>174</v>
      </c>
      <c r="E27" s="62" t="s">
        <v>86</v>
      </c>
      <c r="F27" s="80">
        <v>1234.5</v>
      </c>
    </row>
    <row r="28" spans="3:16" ht="14.4" thickBot="1" x14ac:dyDescent="0.3">
      <c r="D28" t="s">
        <v>173</v>
      </c>
      <c r="E28" s="62" t="s">
        <v>86</v>
      </c>
      <c r="F28" s="79">
        <v>12345</v>
      </c>
    </row>
    <row r="29" spans="3:16" ht="14.4" thickTop="1" x14ac:dyDescent="0.25"/>
    <row r="32" spans="3:16" x14ac:dyDescent="0.25">
      <c r="C32" s="60" t="s">
        <v>100</v>
      </c>
      <c r="D32" s="60"/>
      <c r="E32" s="63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</row>
    <row r="33" spans="3:16" x14ac:dyDescent="0.25">
      <c r="D33" t="s">
        <v>101</v>
      </c>
      <c r="E33" s="62" t="s">
        <v>102</v>
      </c>
      <c r="K33" s="55">
        <v>11600</v>
      </c>
    </row>
    <row r="34" spans="3:16" x14ac:dyDescent="0.25">
      <c r="D34" t="s">
        <v>106</v>
      </c>
      <c r="E34" s="62" t="str">
        <f>currency</f>
        <v>$'m</v>
      </c>
      <c r="K34">
        <f>Hist!I12</f>
        <v>3829.2</v>
      </c>
      <c r="L34" t="str">
        <f ca="1">"&lt;&lt; "&amp;_xlfn.FORMULATEXT(K34)</f>
        <v>&lt;&lt; =Hist!I12</v>
      </c>
    </row>
    <row r="35" spans="3:16" x14ac:dyDescent="0.25">
      <c r="D35" t="s">
        <v>105</v>
      </c>
      <c r="E35" s="62" t="str">
        <f>currency</f>
        <v>$'m</v>
      </c>
      <c r="K35" s="55">
        <v>623.5</v>
      </c>
    </row>
    <row r="36" spans="3:16" x14ac:dyDescent="0.25">
      <c r="D36" t="s">
        <v>107</v>
      </c>
      <c r="E36" s="62" t="str">
        <f>currency</f>
        <v>$'m</v>
      </c>
      <c r="K36">
        <f>K34-K35</f>
        <v>3205.7</v>
      </c>
      <c r="L36" t="str">
        <f ca="1">"&lt;&lt; "&amp;_xlfn.FORMULATEXT(K36)</f>
        <v>&lt;&lt; =K34-K35</v>
      </c>
    </row>
    <row r="37" spans="3:16" x14ac:dyDescent="0.25">
      <c r="D37" t="s">
        <v>103</v>
      </c>
      <c r="E37" s="62" t="s">
        <v>104</v>
      </c>
      <c r="K37">
        <f>K36*million/K33</f>
        <v>276353.44827586209</v>
      </c>
      <c r="L37" t="str">
        <f ca="1">"&lt;&lt; "&amp;_xlfn.FORMULATEXT(K37)</f>
        <v>&lt;&lt; =K36*million/K33</v>
      </c>
    </row>
    <row r="38" spans="3:16" x14ac:dyDescent="0.25">
      <c r="D38" t="s">
        <v>120</v>
      </c>
      <c r="E38" s="62" t="s">
        <v>104</v>
      </c>
      <c r="L38" s="55">
        <v>280000</v>
      </c>
      <c r="M38" s="55">
        <v>280000</v>
      </c>
      <c r="N38" s="55">
        <v>285000</v>
      </c>
      <c r="O38" s="55">
        <v>285000</v>
      </c>
      <c r="P38" s="55">
        <v>290000</v>
      </c>
    </row>
    <row r="39" spans="3:16" x14ac:dyDescent="0.25">
      <c r="E39"/>
    </row>
    <row r="40" spans="3:16" x14ac:dyDescent="0.25">
      <c r="D40" t="s">
        <v>121</v>
      </c>
      <c r="E40" s="62" t="s">
        <v>90</v>
      </c>
      <c r="K40" s="50" t="str">
        <f ca="1">_xlfn.FORMULATEXT(L40)&amp;"&gt;&gt;"</f>
        <v>=Scenarios!L18&gt;&gt;</v>
      </c>
      <c r="L40" s="70">
        <f>Scenarios!L18</f>
        <v>0.03</v>
      </c>
      <c r="M40" s="70">
        <f>Scenarios!M18</f>
        <v>0.03</v>
      </c>
      <c r="N40" s="70">
        <f>Scenarios!N18</f>
        <v>0.03</v>
      </c>
      <c r="O40" s="70">
        <f>Scenarios!O18</f>
        <v>0.03</v>
      </c>
      <c r="P40" s="70">
        <f>Scenarios!P18</f>
        <v>0.03</v>
      </c>
    </row>
    <row r="41" spans="3:16" x14ac:dyDescent="0.25">
      <c r="D41" t="s">
        <v>122</v>
      </c>
      <c r="E41" s="62" t="s">
        <v>90</v>
      </c>
      <c r="K41" s="50" t="str">
        <f t="shared" ref="K41:K42" ca="1" si="2">_xlfn.FORMULATEXT(L41)&amp;"&gt;&gt;"</f>
        <v>=Scenarios!L24&gt;&gt;</v>
      </c>
      <c r="L41" s="70">
        <f>Scenarios!L24</f>
        <v>0.04</v>
      </c>
      <c r="M41" s="70">
        <f>Scenarios!M24</f>
        <v>0.04</v>
      </c>
      <c r="N41" s="70">
        <f>Scenarios!N24</f>
        <v>0.04</v>
      </c>
      <c r="O41" s="70">
        <f>Scenarios!O24</f>
        <v>0.04</v>
      </c>
      <c r="P41" s="70">
        <f>Scenarios!P24</f>
        <v>0.04</v>
      </c>
    </row>
    <row r="42" spans="3:16" x14ac:dyDescent="0.25">
      <c r="D42" t="s">
        <v>123</v>
      </c>
      <c r="E42" s="62" t="s">
        <v>90</v>
      </c>
      <c r="K42" s="50" t="str">
        <f t="shared" ca="1" si="2"/>
        <v>=Scenarios!L30&gt;&gt;</v>
      </c>
      <c r="L42" s="70">
        <f>Scenarios!L30</f>
        <v>0.02</v>
      </c>
      <c r="M42" s="70">
        <f>Scenarios!M30</f>
        <v>0.02</v>
      </c>
      <c r="N42" s="70">
        <f>Scenarios!N30</f>
        <v>0.02</v>
      </c>
      <c r="O42" s="70">
        <f>Scenarios!O30</f>
        <v>0.02</v>
      </c>
      <c r="P42" s="70">
        <f>Scenarios!P30</f>
        <v>0.02</v>
      </c>
    </row>
    <row r="45" spans="3:16" x14ac:dyDescent="0.25">
      <c r="C45" s="60" t="s">
        <v>124</v>
      </c>
      <c r="D45" s="60"/>
      <c r="E45" s="63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spans="3:16" x14ac:dyDescent="0.25">
      <c r="D46" t="s">
        <v>125</v>
      </c>
      <c r="E46" s="62" t="s">
        <v>90</v>
      </c>
      <c r="F46" s="56">
        <f>1-F47</f>
        <v>0.44999999999999996</v>
      </c>
    </row>
    <row r="47" spans="3:16" x14ac:dyDescent="0.25">
      <c r="D47" t="s">
        <v>126</v>
      </c>
      <c r="E47" s="62" t="s">
        <v>90</v>
      </c>
      <c r="F47" s="67">
        <v>0.55000000000000004</v>
      </c>
    </row>
    <row r="48" spans="3:16" x14ac:dyDescent="0.25">
      <c r="D48" t="s">
        <v>127</v>
      </c>
      <c r="E48" s="62" t="s">
        <v>90</v>
      </c>
      <c r="K48" s="50" t="str">
        <f ca="1">_xlfn.FORMULATEXT(L48)&amp;"&gt;&gt;"</f>
        <v>=Scenarios!L36&gt;&gt;</v>
      </c>
      <c r="L48" s="70">
        <f>Scenarios!L36</f>
        <v>2.5000000000000001E-2</v>
      </c>
      <c r="M48" s="70">
        <f>Scenarios!M36</f>
        <v>2.5000000000000001E-2</v>
      </c>
      <c r="N48" s="70">
        <f>Scenarios!N36</f>
        <v>2.5000000000000001E-2</v>
      </c>
      <c r="O48" s="70">
        <f>Scenarios!O36</f>
        <v>2.5000000000000001E-2</v>
      </c>
      <c r="P48" s="70">
        <f>Scenarios!P36</f>
        <v>2.5000000000000001E-2</v>
      </c>
    </row>
    <row r="49" spans="3:16" x14ac:dyDescent="0.25">
      <c r="D49" t="s">
        <v>60</v>
      </c>
      <c r="L49" s="55">
        <v>635</v>
      </c>
    </row>
    <row r="52" spans="3:16" x14ac:dyDescent="0.25">
      <c r="C52" s="60" t="s">
        <v>129</v>
      </c>
      <c r="D52" s="60"/>
      <c r="E52" s="63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3:16" x14ac:dyDescent="0.25">
      <c r="C53" s="61" t="s">
        <v>139</v>
      </c>
      <c r="E53"/>
    </row>
    <row r="54" spans="3:16" x14ac:dyDescent="0.25">
      <c r="D54" t="s">
        <v>140</v>
      </c>
      <c r="E54" s="62" t="str">
        <f>currency</f>
        <v>$'m</v>
      </c>
      <c r="L54" s="55">
        <v>245</v>
      </c>
      <c r="M54" s="55">
        <v>280</v>
      </c>
      <c r="N54" s="55">
        <v>265</v>
      </c>
      <c r="O54" s="55">
        <v>265</v>
      </c>
      <c r="P54" s="55">
        <v>265</v>
      </c>
    </row>
    <row r="55" spans="3:16" x14ac:dyDescent="0.25">
      <c r="D55" t="s">
        <v>130</v>
      </c>
      <c r="E55" s="62" t="s">
        <v>131</v>
      </c>
      <c r="F55" s="55" t="s">
        <v>132</v>
      </c>
    </row>
    <row r="57" spans="3:16" x14ac:dyDescent="0.25">
      <c r="C57" s="61" t="s">
        <v>141</v>
      </c>
    </row>
    <row r="58" spans="3:16" x14ac:dyDescent="0.25">
      <c r="D58" t="s">
        <v>134</v>
      </c>
      <c r="E58" s="62" t="s">
        <v>133</v>
      </c>
      <c r="F58" s="55">
        <v>10</v>
      </c>
    </row>
    <row r="59" spans="3:16" x14ac:dyDescent="0.25">
      <c r="D59" t="s">
        <v>135</v>
      </c>
      <c r="E59" s="62" t="s">
        <v>133</v>
      </c>
      <c r="F59" s="55">
        <v>16</v>
      </c>
    </row>
    <row r="60" spans="3:16" x14ac:dyDescent="0.25">
      <c r="E60"/>
    </row>
    <row r="61" spans="3:16" x14ac:dyDescent="0.25">
      <c r="C61" s="61" t="s">
        <v>142</v>
      </c>
      <c r="E61"/>
    </row>
    <row r="62" spans="3:16" x14ac:dyDescent="0.25">
      <c r="D62" t="s">
        <v>144</v>
      </c>
      <c r="E62" s="62" t="str">
        <f>currency</f>
        <v>$'m</v>
      </c>
      <c r="L62" s="55">
        <v>52</v>
      </c>
      <c r="M62" s="55">
        <v>52</v>
      </c>
      <c r="N62" s="55">
        <v>52</v>
      </c>
      <c r="O62" s="55">
        <v>52</v>
      </c>
      <c r="P62" s="55">
        <v>52</v>
      </c>
    </row>
    <row r="63" spans="3:16" x14ac:dyDescent="0.25">
      <c r="D63" t="s">
        <v>163</v>
      </c>
      <c r="E63" s="62" t="s">
        <v>131</v>
      </c>
      <c r="F63" s="55" t="s">
        <v>132</v>
      </c>
    </row>
    <row r="64" spans="3:16" x14ac:dyDescent="0.25">
      <c r="E64"/>
    </row>
    <row r="65" spans="3:16" x14ac:dyDescent="0.25">
      <c r="C65" s="61" t="s">
        <v>143</v>
      </c>
      <c r="E65"/>
    </row>
    <row r="66" spans="3:16" x14ac:dyDescent="0.25">
      <c r="D66" t="s">
        <v>136</v>
      </c>
      <c r="E66" s="62" t="s">
        <v>133</v>
      </c>
      <c r="F66" s="55">
        <v>6</v>
      </c>
    </row>
    <row r="67" spans="3:16" x14ac:dyDescent="0.25">
      <c r="D67" t="s">
        <v>137</v>
      </c>
      <c r="E67" s="62" t="s">
        <v>133</v>
      </c>
      <c r="F67" s="55">
        <v>11</v>
      </c>
    </row>
    <row r="70" spans="3:16" x14ac:dyDescent="0.25">
      <c r="C70" s="60" t="s">
        <v>145</v>
      </c>
      <c r="D70" s="60"/>
      <c r="E70" s="63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</row>
    <row r="72" spans="3:16" x14ac:dyDescent="0.25">
      <c r="D72" t="str">
        <f>D11</f>
        <v>Days in a period</v>
      </c>
      <c r="E72" s="62" t="str">
        <f>E11</f>
        <v>days</v>
      </c>
      <c r="I72" s="58">
        <f>I11</f>
        <v>365</v>
      </c>
      <c r="J72" s="58">
        <f t="shared" ref="J72:K72" si="3">J11</f>
        <v>365</v>
      </c>
      <c r="K72" s="58">
        <f t="shared" si="3"/>
        <v>366</v>
      </c>
      <c r="L72" t="str">
        <f ca="1">"&lt;&lt; "&amp;_xlfn.FORMULATEXT(K72)</f>
        <v>&lt;&lt; =K11</v>
      </c>
    </row>
    <row r="74" spans="3:16" x14ac:dyDescent="0.25">
      <c r="C74" s="61" t="s">
        <v>146</v>
      </c>
    </row>
    <row r="75" spans="3:16" x14ac:dyDescent="0.25">
      <c r="D75" t="s">
        <v>62</v>
      </c>
      <c r="E75" s="62" t="str">
        <f>currency</f>
        <v>$'m</v>
      </c>
      <c r="I75" s="58">
        <f>Hist!G12</f>
        <v>3194.1</v>
      </c>
      <c r="J75" s="58">
        <f>Hist!H12</f>
        <v>3524.7</v>
      </c>
      <c r="K75" s="58">
        <f>Hist!I12</f>
        <v>3829.2</v>
      </c>
      <c r="L75" t="str">
        <f t="shared" ref="L75:L76" ca="1" si="4">"&lt;&lt; "&amp;_xlfn.FORMULATEXT(K75)</f>
        <v>&lt;&lt; =Hist!I12</v>
      </c>
    </row>
    <row r="76" spans="3:16" x14ac:dyDescent="0.25">
      <c r="D76" t="s">
        <v>61</v>
      </c>
      <c r="E76" s="62" t="str">
        <f>currency</f>
        <v>$'m</v>
      </c>
      <c r="I76" s="58">
        <f>Hist!G14</f>
        <v>2291.3000000000002</v>
      </c>
      <c r="J76" s="58">
        <f>Hist!H14</f>
        <v>2565.9</v>
      </c>
      <c r="K76" s="58">
        <f>Hist!I14</f>
        <v>2788.8</v>
      </c>
      <c r="L76" t="str">
        <f t="shared" ca="1" si="4"/>
        <v>&lt;&lt; =Hist!I14</v>
      </c>
    </row>
    <row r="78" spans="3:16" x14ac:dyDescent="0.25">
      <c r="C78" s="61" t="s">
        <v>147</v>
      </c>
    </row>
    <row r="79" spans="3:16" x14ac:dyDescent="0.25">
      <c r="D79" t="str">
        <f>Hist!C80</f>
        <v>Accounts Receivable</v>
      </c>
      <c r="E79" s="62" t="str">
        <f>currency</f>
        <v>$'m</v>
      </c>
      <c r="I79" s="58">
        <f>Hist!G80</f>
        <v>266.60000000000002</v>
      </c>
      <c r="J79" s="58">
        <f>Hist!H80</f>
        <v>306.8</v>
      </c>
      <c r="K79" s="58">
        <f>Hist!I80</f>
        <v>308.39999999999998</v>
      </c>
      <c r="L79" t="str">
        <f t="shared" ref="L79:L83" ca="1" si="5">"&lt;&lt; "&amp;_xlfn.FORMULATEXT(K79)</f>
        <v>&lt;&lt; =Hist!I80</v>
      </c>
    </row>
    <row r="80" spans="3:16" x14ac:dyDescent="0.25">
      <c r="D80" t="str">
        <f>Hist!C81</f>
        <v>Inventory</v>
      </c>
      <c r="E80" s="62" t="str">
        <f>currency</f>
        <v>$'m</v>
      </c>
      <c r="I80" s="58">
        <f>Hist!G81</f>
        <v>532.70000000000005</v>
      </c>
      <c r="J80" s="58">
        <f>Hist!H81</f>
        <v>630.20000000000005</v>
      </c>
      <c r="K80" s="58">
        <f>Hist!I81</f>
        <v>685.9</v>
      </c>
      <c r="L80" t="str">
        <f t="shared" ca="1" si="5"/>
        <v>&lt;&lt; =Hist!I81</v>
      </c>
    </row>
    <row r="81" spans="3:16" x14ac:dyDescent="0.25">
      <c r="D81" t="str">
        <f>Hist!C82</f>
        <v>Other</v>
      </c>
      <c r="E81" s="62" t="str">
        <f>currency</f>
        <v>$'m</v>
      </c>
      <c r="I81" s="58">
        <f>Hist!G82</f>
        <v>51.4</v>
      </c>
      <c r="J81" s="58">
        <f>Hist!H82</f>
        <v>61</v>
      </c>
      <c r="K81" s="58">
        <f>Hist!I82</f>
        <v>65.3</v>
      </c>
      <c r="L81" t="str">
        <f t="shared" ca="1" si="5"/>
        <v>&lt;&lt; =Hist!I82</v>
      </c>
    </row>
    <row r="82" spans="3:16" x14ac:dyDescent="0.25">
      <c r="D82" t="str">
        <f>Hist!C97</f>
        <v>Accounts Payable</v>
      </c>
      <c r="E82" s="62" t="str">
        <f>currency</f>
        <v>$'m</v>
      </c>
      <c r="I82" s="58">
        <f>Hist!G97</f>
        <v>547</v>
      </c>
      <c r="J82" s="58">
        <f>Hist!H97</f>
        <v>678.4</v>
      </c>
      <c r="K82" s="58">
        <f>Hist!I97</f>
        <v>650.29999999999995</v>
      </c>
      <c r="L82" t="str">
        <f t="shared" ca="1" si="5"/>
        <v>&lt;&lt; =Hist!I97</v>
      </c>
    </row>
    <row r="83" spans="3:16" x14ac:dyDescent="0.25">
      <c r="D83" t="str">
        <f>Hist!C98</f>
        <v xml:space="preserve">Other </v>
      </c>
      <c r="E83" s="62" t="str">
        <f>currency</f>
        <v>$'m</v>
      </c>
      <c r="I83" s="58">
        <f>Hist!G98</f>
        <v>206.6</v>
      </c>
      <c r="J83" s="58">
        <f>Hist!H98</f>
        <v>248.50000000000006</v>
      </c>
      <c r="K83" s="58">
        <f>Hist!I98</f>
        <v>266.2</v>
      </c>
      <c r="L83" t="str">
        <f t="shared" ca="1" si="5"/>
        <v>&lt;&lt; =Hist!I98</v>
      </c>
    </row>
    <row r="85" spans="3:16" x14ac:dyDescent="0.25">
      <c r="C85" s="61" t="s">
        <v>148</v>
      </c>
    </row>
    <row r="86" spans="3:16" x14ac:dyDescent="0.25">
      <c r="D86" t="str">
        <f>D79</f>
        <v>Accounts Receivable</v>
      </c>
      <c r="E86" s="62" t="s">
        <v>109</v>
      </c>
      <c r="H86" s="50" t="str">
        <f ca="1">_xlfn.FORMULATEXT(I86)&amp;"&gt;&gt;"</f>
        <v>=I79/I$75*I$72&gt;&gt;</v>
      </c>
      <c r="I86">
        <f>I79/I$75*I$72</f>
        <v>30.465232772925084</v>
      </c>
      <c r="J86">
        <f t="shared" ref="J86:K86" si="6">J79/J$75*J$72</f>
        <v>31.77064714727495</v>
      </c>
      <c r="K86">
        <f t="shared" si="6"/>
        <v>29.477279849576934</v>
      </c>
      <c r="L86" s="55">
        <v>29.48</v>
      </c>
      <c r="M86" s="55">
        <v>29.48</v>
      </c>
      <c r="N86" s="55">
        <v>29.48</v>
      </c>
      <c r="O86" s="55">
        <v>29.48</v>
      </c>
      <c r="P86" s="55">
        <v>29.48</v>
      </c>
    </row>
    <row r="87" spans="3:16" x14ac:dyDescent="0.25">
      <c r="D87" t="str">
        <f t="shared" ref="D87:D90" si="7">D80</f>
        <v>Inventory</v>
      </c>
      <c r="E87" s="62" t="s">
        <v>109</v>
      </c>
      <c r="H87" s="50" t="str">
        <f t="shared" ref="H87:H90" ca="1" si="8">_xlfn.FORMULATEXT(I87)&amp;"&gt;&gt;"</f>
        <v>=I80/I$76*I$72&gt;&gt;</v>
      </c>
      <c r="I87">
        <f>I80/I$76*I$72</f>
        <v>84.858159123641599</v>
      </c>
      <c r="J87">
        <f t="shared" ref="J87:K87" si="9">J80/J$76*J$72</f>
        <v>89.646128064226986</v>
      </c>
      <c r="K87">
        <f t="shared" si="9"/>
        <v>90.016996557659198</v>
      </c>
      <c r="L87" s="55">
        <v>90.02</v>
      </c>
      <c r="M87" s="55">
        <v>90.02</v>
      </c>
      <c r="N87" s="55">
        <v>90.02</v>
      </c>
      <c r="O87" s="55">
        <v>90.02</v>
      </c>
      <c r="P87" s="55">
        <v>90.02</v>
      </c>
    </row>
    <row r="88" spans="3:16" x14ac:dyDescent="0.25">
      <c r="D88" t="str">
        <f t="shared" si="7"/>
        <v>Other</v>
      </c>
      <c r="E88" s="62" t="s">
        <v>109</v>
      </c>
      <c r="H88" s="50" t="str">
        <f t="shared" ca="1" si="8"/>
        <v>=I81/I$76*I$72&gt;&gt;</v>
      </c>
      <c r="I88">
        <f t="shared" ref="I88:K90" si="10">I81/I$76*I$72</f>
        <v>8.1879282503382349</v>
      </c>
      <c r="J88">
        <f t="shared" si="10"/>
        <v>8.6772672356677969</v>
      </c>
      <c r="K88">
        <f t="shared" si="10"/>
        <v>8.5699225473321849</v>
      </c>
      <c r="L88" s="55">
        <v>8.57</v>
      </c>
      <c r="M88" s="55">
        <v>8.57</v>
      </c>
      <c r="N88" s="55">
        <v>8.57</v>
      </c>
      <c r="O88" s="55">
        <v>8.57</v>
      </c>
      <c r="P88" s="55">
        <v>8.57</v>
      </c>
    </row>
    <row r="89" spans="3:16" x14ac:dyDescent="0.25">
      <c r="D89" t="str">
        <f t="shared" si="7"/>
        <v>Accounts Payable</v>
      </c>
      <c r="E89" s="62" t="s">
        <v>109</v>
      </c>
      <c r="H89" s="50" t="str">
        <f t="shared" ca="1" si="8"/>
        <v>=I82/I$76*I$72&gt;&gt;</v>
      </c>
      <c r="I89">
        <f t="shared" si="10"/>
        <v>87.136123597957479</v>
      </c>
      <c r="J89">
        <f t="shared" si="10"/>
        <v>96.502591683230037</v>
      </c>
      <c r="K89">
        <f t="shared" si="10"/>
        <v>85.344879518072275</v>
      </c>
      <c r="L89" s="55">
        <v>85.34</v>
      </c>
      <c r="M89" s="55">
        <v>85.34</v>
      </c>
      <c r="N89" s="55">
        <v>85.34</v>
      </c>
      <c r="O89" s="55">
        <v>85.34</v>
      </c>
      <c r="P89" s="55">
        <v>85.34</v>
      </c>
    </row>
    <row r="90" spans="3:16" x14ac:dyDescent="0.25">
      <c r="D90" t="str">
        <f t="shared" si="7"/>
        <v xml:space="preserve">Other </v>
      </c>
      <c r="E90" s="62" t="s">
        <v>109</v>
      </c>
      <c r="H90" s="50" t="str">
        <f t="shared" ca="1" si="8"/>
        <v>=I83/I$76*I$72&gt;&gt;</v>
      </c>
      <c r="I90">
        <f t="shared" si="10"/>
        <v>32.911011216340071</v>
      </c>
      <c r="J90">
        <f t="shared" si="10"/>
        <v>35.349195214154882</v>
      </c>
      <c r="K90">
        <f t="shared" si="10"/>
        <v>34.935886402753873</v>
      </c>
      <c r="L90" s="55">
        <v>34.94</v>
      </c>
      <c r="M90" s="55">
        <v>34.94</v>
      </c>
      <c r="N90" s="55">
        <v>34.94</v>
      </c>
      <c r="O90" s="55">
        <v>34.94</v>
      </c>
      <c r="P90" s="55">
        <v>34.94</v>
      </c>
    </row>
    <row r="92" spans="3:16" x14ac:dyDescent="0.25">
      <c r="C92" s="60" t="s">
        <v>149</v>
      </c>
      <c r="D92" s="60"/>
      <c r="E92" s="63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</row>
    <row r="93" spans="3:16" x14ac:dyDescent="0.25">
      <c r="D93" t="s">
        <v>150</v>
      </c>
      <c r="E93" s="62" t="s">
        <v>90</v>
      </c>
      <c r="F93" s="67">
        <v>0.35</v>
      </c>
    </row>
    <row r="94" spans="3:16" x14ac:dyDescent="0.25">
      <c r="D94" t="s">
        <v>151</v>
      </c>
      <c r="E94" s="62" t="str">
        <f>currency</f>
        <v>$'m</v>
      </c>
      <c r="L94" s="55">
        <v>24</v>
      </c>
      <c r="M94" s="55">
        <v>24</v>
      </c>
      <c r="N94" s="55">
        <v>24</v>
      </c>
      <c r="O94" s="55">
        <v>24</v>
      </c>
      <c r="P94" s="55">
        <v>24</v>
      </c>
    </row>
    <row r="96" spans="3:16" x14ac:dyDescent="0.25">
      <c r="C96" s="60" t="s">
        <v>152</v>
      </c>
      <c r="D96" s="60"/>
      <c r="E96" s="63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</row>
    <row r="97" spans="3:6" x14ac:dyDescent="0.25">
      <c r="C97" s="61" t="s">
        <v>153</v>
      </c>
    </row>
    <row r="98" spans="3:6" x14ac:dyDescent="0.25">
      <c r="D98" t="s">
        <v>154</v>
      </c>
      <c r="E98" s="62" t="s">
        <v>90</v>
      </c>
      <c r="F98" s="67">
        <v>6.5500000000000003E-2</v>
      </c>
    </row>
    <row r="99" spans="3:6" x14ac:dyDescent="0.25">
      <c r="D99" t="s">
        <v>155</v>
      </c>
      <c r="E99" s="62" t="s">
        <v>90</v>
      </c>
      <c r="F99" s="67">
        <v>6.5000000000000002E-2</v>
      </c>
    </row>
    <row r="100" spans="3:6" x14ac:dyDescent="0.25">
      <c r="D100" t="s">
        <v>156</v>
      </c>
      <c r="E100" s="62" t="s">
        <v>90</v>
      </c>
      <c r="F100" s="67">
        <v>2.5000000000000001E-2</v>
      </c>
    </row>
    <row r="101" spans="3:6" x14ac:dyDescent="0.25">
      <c r="D101" t="s">
        <v>157</v>
      </c>
      <c r="E101" s="62" t="s">
        <v>90</v>
      </c>
      <c r="F101" s="67">
        <v>5.1999999999999998E-2</v>
      </c>
    </row>
    <row r="102" spans="3:6" ht="4.05" customHeight="1" x14ac:dyDescent="0.25"/>
    <row r="103" spans="3:6" x14ac:dyDescent="0.25">
      <c r="D103" t="s">
        <v>161</v>
      </c>
    </row>
    <row r="104" spans="3:6" x14ac:dyDescent="0.25">
      <c r="D104" s="54" t="s">
        <v>159</v>
      </c>
      <c r="F104" s="54" t="s">
        <v>160</v>
      </c>
    </row>
    <row r="105" spans="3:6" x14ac:dyDescent="0.25">
      <c r="D105" s="72">
        <v>0</v>
      </c>
      <c r="F105" s="71">
        <v>0.01</v>
      </c>
    </row>
    <row r="106" spans="3:6" x14ac:dyDescent="0.25">
      <c r="D106" s="72">
        <v>1</v>
      </c>
      <c r="F106" s="71">
        <v>1.4999999999999999E-2</v>
      </c>
    </row>
    <row r="107" spans="3:6" x14ac:dyDescent="0.25">
      <c r="D107" s="72">
        <v>2</v>
      </c>
      <c r="F107" s="71">
        <v>0.02</v>
      </c>
    </row>
    <row r="108" spans="3:6" x14ac:dyDescent="0.25">
      <c r="D108" s="72">
        <v>3</v>
      </c>
      <c r="F108" s="71">
        <v>2.5000000000000001E-2</v>
      </c>
    </row>
    <row r="109" spans="3:6" x14ac:dyDescent="0.25">
      <c r="D109" s="72">
        <v>4</v>
      </c>
      <c r="F109" s="71">
        <v>2.75E-2</v>
      </c>
    </row>
    <row r="110" spans="3:6" x14ac:dyDescent="0.25">
      <c r="D110" s="72">
        <v>4.5</v>
      </c>
      <c r="F110" s="71">
        <v>0.03</v>
      </c>
    </row>
    <row r="113" spans="3:16" x14ac:dyDescent="0.25">
      <c r="C113" s="61" t="s">
        <v>162</v>
      </c>
    </row>
    <row r="114" spans="3:16" x14ac:dyDescent="0.25">
      <c r="D114" t="s">
        <v>165</v>
      </c>
      <c r="E114" s="62" t="str">
        <f>currency</f>
        <v>$'m</v>
      </c>
      <c r="L114" s="55">
        <v>180</v>
      </c>
      <c r="M114" s="55">
        <v>180</v>
      </c>
      <c r="N114" s="55">
        <v>180</v>
      </c>
      <c r="O114" s="55">
        <v>180</v>
      </c>
      <c r="P114" s="55">
        <v>180</v>
      </c>
    </row>
    <row r="115" spans="3:16" x14ac:dyDescent="0.25">
      <c r="D115" t="s">
        <v>164</v>
      </c>
      <c r="E115" s="62" t="str">
        <f>currency</f>
        <v>$'m</v>
      </c>
      <c r="L115" s="55">
        <v>35</v>
      </c>
      <c r="M115" s="55">
        <v>35</v>
      </c>
      <c r="N115" s="55">
        <v>35</v>
      </c>
      <c r="O115" s="55">
        <v>35</v>
      </c>
      <c r="P115" s="55">
        <v>35</v>
      </c>
    </row>
    <row r="117" spans="3:16" x14ac:dyDescent="0.25">
      <c r="C117" s="60" t="s">
        <v>166</v>
      </c>
      <c r="D117" s="60"/>
      <c r="E117" s="63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</row>
    <row r="118" spans="3:16" x14ac:dyDescent="0.25">
      <c r="D118" t="s">
        <v>167</v>
      </c>
      <c r="E118" s="62" t="str">
        <f>currency</f>
        <v>$'m</v>
      </c>
      <c r="L118" s="55">
        <v>48</v>
      </c>
      <c r="M118" s="55">
        <v>45</v>
      </c>
      <c r="N118" s="55">
        <v>45</v>
      </c>
      <c r="O118" s="55">
        <v>45</v>
      </c>
      <c r="P118" s="55">
        <v>45</v>
      </c>
    </row>
    <row r="119" spans="3:16" x14ac:dyDescent="0.25">
      <c r="D119" t="s">
        <v>168</v>
      </c>
      <c r="E119" s="62" t="str">
        <f>currency</f>
        <v>$'m</v>
      </c>
      <c r="L119" s="55">
        <v>-90</v>
      </c>
      <c r="M119" s="55">
        <v>-50</v>
      </c>
      <c r="N119" s="55">
        <v>-32</v>
      </c>
      <c r="O119" s="55">
        <v>-32</v>
      </c>
      <c r="P119" s="55">
        <v>-32</v>
      </c>
    </row>
    <row r="120" spans="3:16" x14ac:dyDescent="0.25">
      <c r="D120" t="s">
        <v>169</v>
      </c>
      <c r="E120" s="62" t="s">
        <v>90</v>
      </c>
      <c r="F120" s="71">
        <v>9.5000000000000001E-2</v>
      </c>
    </row>
    <row r="121" spans="3:16" x14ac:dyDescent="0.25">
      <c r="D121" t="s">
        <v>170</v>
      </c>
      <c r="E121" s="62" t="s">
        <v>90</v>
      </c>
      <c r="F121" s="71">
        <v>0.32</v>
      </c>
    </row>
    <row r="124" spans="3:16" x14ac:dyDescent="0.25">
      <c r="C124" s="60" t="s">
        <v>171</v>
      </c>
      <c r="D124" s="60"/>
      <c r="E124" s="63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</row>
    <row r="125" spans="3:16" x14ac:dyDescent="0.25">
      <c r="D125" t="str">
        <f>Hist!C18</f>
        <v>Cost Adjustments - Gain / (Loss)</v>
      </c>
      <c r="E125" s="62" t="str">
        <f t="shared" ref="E125:E131" si="11">currency</f>
        <v>$'m</v>
      </c>
      <c r="K125" s="58">
        <f>Hist!I18</f>
        <v>2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</row>
    <row r="126" spans="3:16" x14ac:dyDescent="0.25">
      <c r="D126" t="str">
        <f>Hist!C24</f>
        <v>Cost Adjustments - Gain / (Loss)</v>
      </c>
      <c r="E126" s="62" t="str">
        <f t="shared" si="11"/>
        <v>$'m</v>
      </c>
      <c r="K126" s="58">
        <f>Hist!I24</f>
        <v>51.6</v>
      </c>
      <c r="L126" s="55">
        <v>0</v>
      </c>
      <c r="M126" s="55">
        <v>0</v>
      </c>
      <c r="N126" s="55">
        <v>0</v>
      </c>
      <c r="O126" s="55">
        <v>0</v>
      </c>
      <c r="P126" s="55">
        <v>0</v>
      </c>
    </row>
    <row r="127" spans="3:16" x14ac:dyDescent="0.25">
      <c r="D127" t="str">
        <f>Hist!C86</f>
        <v>Goodwill</v>
      </c>
      <c r="E127" s="62" t="str">
        <f t="shared" si="11"/>
        <v>$'m</v>
      </c>
      <c r="K127" s="58">
        <f>Hist!I86</f>
        <v>116</v>
      </c>
      <c r="L127" s="55">
        <v>116</v>
      </c>
      <c r="M127" s="55">
        <v>116</v>
      </c>
      <c r="N127" s="55">
        <v>116</v>
      </c>
      <c r="O127" s="55">
        <v>116</v>
      </c>
      <c r="P127" s="55">
        <v>116</v>
      </c>
    </row>
    <row r="128" spans="3:16" x14ac:dyDescent="0.25">
      <c r="D128" t="str">
        <f>Hist!C89</f>
        <v>Other</v>
      </c>
      <c r="E128" s="62" t="str">
        <f t="shared" si="11"/>
        <v>$'m</v>
      </c>
      <c r="K128" s="58">
        <f>Hist!I89</f>
        <v>132.5</v>
      </c>
      <c r="L128" s="55">
        <v>132.5</v>
      </c>
      <c r="M128" s="55">
        <v>132.5</v>
      </c>
      <c r="N128" s="55">
        <v>132.5</v>
      </c>
      <c r="O128" s="55">
        <v>132.5</v>
      </c>
      <c r="P128" s="55">
        <v>132.5</v>
      </c>
    </row>
    <row r="129" spans="4:16" x14ac:dyDescent="0.25">
      <c r="D129" t="str">
        <f>Hist!C103</f>
        <v xml:space="preserve">Other </v>
      </c>
      <c r="E129" s="62" t="str">
        <f t="shared" si="11"/>
        <v>$'m</v>
      </c>
      <c r="K129" s="58">
        <f>Hist!I103</f>
        <v>367.40000000000003</v>
      </c>
      <c r="L129" s="55">
        <v>367.40000000000003</v>
      </c>
      <c r="M129" s="55">
        <v>367.40000000000003</v>
      </c>
      <c r="N129" s="55">
        <v>367.40000000000003</v>
      </c>
      <c r="O129" s="55">
        <v>367.40000000000003</v>
      </c>
      <c r="P129" s="55">
        <v>367.40000000000003</v>
      </c>
    </row>
    <row r="130" spans="4:16" x14ac:dyDescent="0.25">
      <c r="D130" t="str">
        <f>Hist!C53</f>
        <v>Asset Disposal</v>
      </c>
      <c r="E130" s="62" t="str">
        <f t="shared" si="11"/>
        <v>$'m</v>
      </c>
      <c r="K130" s="58">
        <f>Hist!I53</f>
        <v>10.5</v>
      </c>
      <c r="L130" s="55">
        <v>0</v>
      </c>
      <c r="M130" s="55">
        <v>0</v>
      </c>
      <c r="N130" s="55">
        <v>0</v>
      </c>
      <c r="O130" s="55">
        <v>0</v>
      </c>
      <c r="P130" s="55">
        <v>0</v>
      </c>
    </row>
    <row r="131" spans="4:16" x14ac:dyDescent="0.25">
      <c r="D131" t="s">
        <v>231</v>
      </c>
      <c r="E131" s="62" t="str">
        <f t="shared" si="11"/>
        <v>$'m</v>
      </c>
      <c r="L131" s="55">
        <v>0</v>
      </c>
      <c r="M131" s="55">
        <v>0</v>
      </c>
      <c r="N131" s="55">
        <v>0</v>
      </c>
      <c r="O131" s="55">
        <v>0</v>
      </c>
      <c r="P131" s="55">
        <v>0</v>
      </c>
    </row>
  </sheetData>
  <mergeCells count="2">
    <mergeCell ref="J4:K4"/>
    <mergeCell ref="L4:M4"/>
  </mergeCells>
  <phoneticPr fontId="28" type="noConversion"/>
  <pageMargins left="0.70866141732283505" right="0.70866141732283505" top="0.74803149606299202" bottom="0.74803149606299202" header="0.31496062992126" footer="0.31496062992126"/>
  <pageSetup scale="77" fitToHeight="0" orientation="landscape" r:id="rId1"/>
  <headerFooter>
    <oddFooter>&amp;LFED Manufacturing Model&amp;CPage &amp;P of &amp;N&amp;RPrinted on &amp;D at &amp;T</oddFooter>
  </headerFooter>
  <rowBreaks count="3" manualBreakCount="3">
    <brk id="44" max="16383" man="1"/>
    <brk id="69" max="16383" man="1"/>
    <brk id="95" max="16383" man="1"/>
  </rowBreaks>
  <colBreaks count="2" manualBreakCount="2">
    <brk id="1" max="1048575" man="1"/>
    <brk id="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57B2-BD25-4BD3-A1A6-B5C768600232}">
  <sheetPr>
    <pageSetUpPr fitToPage="1"/>
  </sheetPr>
  <dimension ref="A1:Q39"/>
  <sheetViews>
    <sheetView showGridLines="0" workbookViewId="0">
      <pane ySplit="7" topLeftCell="A8" activePane="bottomLeft" state="frozen"/>
      <selection activeCell="M118" sqref="L118:P118"/>
      <selection pane="bottomLeft" activeCell="K16" sqref="K16"/>
    </sheetView>
  </sheetViews>
  <sheetFormatPr defaultRowHeight="13.85" x14ac:dyDescent="0.25"/>
  <cols>
    <col min="1" max="1" width="0.54296875" customWidth="1"/>
    <col min="2" max="3" width="1.81640625" customWidth="1"/>
    <col min="4" max="4" width="30.6328125" customWidth="1"/>
    <col min="5" max="5" width="8.6328125" style="62"/>
    <col min="7" max="8" width="1.6328125" customWidth="1"/>
    <col min="10" max="10" width="9.453125" customWidth="1"/>
    <col min="12" max="12" width="10.453125" customWidth="1"/>
    <col min="13" max="13" width="10.26953125" customWidth="1"/>
    <col min="14" max="14" width="10.36328125" customWidth="1"/>
  </cols>
  <sheetData>
    <row r="1" spans="1:17" ht="4.05" customHeight="1" x14ac:dyDescent="0.25">
      <c r="E1"/>
    </row>
    <row r="2" spans="1:17" ht="26.5" x14ac:dyDescent="0.55000000000000004">
      <c r="A2" s="48"/>
      <c r="B2" s="49" t="str">
        <f>Hist!B1</f>
        <v>FED Manufacturing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7" x14ac:dyDescent="0.25">
      <c r="A3" s="48"/>
      <c r="B3" s="53" t="s">
        <v>81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7" x14ac:dyDescent="0.25">
      <c r="A4" s="48"/>
      <c r="B4" s="48"/>
      <c r="C4" s="48"/>
      <c r="D4" s="48"/>
      <c r="E4" s="48"/>
      <c r="F4" s="48"/>
      <c r="G4" s="48"/>
      <c r="H4" s="48"/>
      <c r="I4" s="48"/>
      <c r="J4" s="168" t="str">
        <f>"BS Check "&amp;BS_Check</f>
        <v>BS Check OK</v>
      </c>
      <c r="K4" s="169"/>
      <c r="L4" s="168" t="str">
        <f>LiveScenario</f>
        <v>Scenario: Base Case</v>
      </c>
      <c r="M4" s="169"/>
      <c r="N4" s="48"/>
      <c r="O4" s="48"/>
      <c r="P4" s="48"/>
    </row>
    <row r="5" spans="1:17" ht="3.05" customHeight="1" x14ac:dyDescent="0.25">
      <c r="E5"/>
    </row>
    <row r="6" spans="1:17" x14ac:dyDescent="0.25">
      <c r="E6"/>
      <c r="I6" s="50" t="s">
        <v>76</v>
      </c>
      <c r="J6" s="50" t="s">
        <v>76</v>
      </c>
      <c r="K6" s="50" t="s">
        <v>76</v>
      </c>
      <c r="L6" s="50" t="s">
        <v>77</v>
      </c>
      <c r="M6" s="50" t="s">
        <v>77</v>
      </c>
      <c r="N6" s="50" t="s">
        <v>77</v>
      </c>
      <c r="O6" s="50" t="s">
        <v>77</v>
      </c>
      <c r="P6" s="50" t="s">
        <v>77</v>
      </c>
    </row>
    <row r="7" spans="1:17" ht="14.4" x14ac:dyDescent="0.3">
      <c r="D7" s="54" t="s">
        <v>78</v>
      </c>
      <c r="E7" s="54" t="s">
        <v>73</v>
      </c>
      <c r="F7" s="54" t="s">
        <v>74</v>
      </c>
      <c r="I7" s="51">
        <f>Hist!G6</f>
        <v>2022</v>
      </c>
      <c r="J7" s="51">
        <f>Hist!H6</f>
        <v>2023</v>
      </c>
      <c r="K7" s="51">
        <f>Hist!I6</f>
        <v>2024</v>
      </c>
      <c r="L7" s="52">
        <f>K7+1</f>
        <v>2025</v>
      </c>
      <c r="M7" s="52">
        <f t="shared" ref="M7:P7" si="0">L7+1</f>
        <v>2026</v>
      </c>
      <c r="N7" s="52">
        <f t="shared" si="0"/>
        <v>2027</v>
      </c>
      <c r="O7" s="52">
        <f t="shared" si="0"/>
        <v>2028</v>
      </c>
      <c r="P7" s="52">
        <f t="shared" si="0"/>
        <v>2029</v>
      </c>
      <c r="Q7" s="47"/>
    </row>
    <row r="8" spans="1:17" x14ac:dyDescent="0.25">
      <c r="E8"/>
    </row>
    <row r="9" spans="1:17" ht="17.3" thickBot="1" x14ac:dyDescent="0.35">
      <c r="B9" s="59" t="s">
        <v>113</v>
      </c>
      <c r="C9" s="59"/>
      <c r="D9" s="59"/>
      <c r="E9" s="65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17" x14ac:dyDescent="0.25">
      <c r="C10" s="60" t="s">
        <v>81</v>
      </c>
      <c r="D10" s="60"/>
      <c r="E10" s="66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17" s="54" customFormat="1" ht="12.7" x14ac:dyDescent="0.25">
      <c r="D11" s="54" t="str" cm="1">
        <f t="array" ref="D11">"Scenario: "&amp;INDEX(L_Scenarios,S_Scenarios)</f>
        <v>Scenario: Base Case</v>
      </c>
      <c r="E11" s="68"/>
    </row>
    <row r="12" spans="1:17" x14ac:dyDescent="0.25">
      <c r="D12" s="73" t="s">
        <v>114</v>
      </c>
      <c r="E12" s="74">
        <v>1</v>
      </c>
    </row>
    <row r="13" spans="1:17" x14ac:dyDescent="0.25">
      <c r="D13" s="75" t="s">
        <v>115</v>
      </c>
      <c r="E13" s="76"/>
    </row>
    <row r="14" spans="1:17" x14ac:dyDescent="0.25">
      <c r="D14" s="77" t="s">
        <v>116</v>
      </c>
      <c r="E14" s="78"/>
    </row>
    <row r="17" spans="3:16" x14ac:dyDescent="0.25">
      <c r="C17" s="60" t="s">
        <v>117</v>
      </c>
      <c r="D17" s="60"/>
      <c r="E17" s="66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spans="3:16" s="54" customFormat="1" ht="12.7" x14ac:dyDescent="0.25">
      <c r="D18" s="54" t="s">
        <v>118</v>
      </c>
      <c r="E18" s="68"/>
      <c r="L18" s="69" cm="1">
        <f t="array" ref="L18">INDEX(L19:L21,S_Scenarios)</f>
        <v>0.03</v>
      </c>
      <c r="M18" s="69" cm="1">
        <f t="array" ref="M18">INDEX(M19:M21,S_Scenarios)</f>
        <v>0.03</v>
      </c>
      <c r="N18" s="69" cm="1">
        <f t="array" ref="N18">INDEX(N19:N21,S_Scenarios)</f>
        <v>0.03</v>
      </c>
      <c r="O18" s="69" cm="1">
        <f t="array" ref="O18">INDEX(O19:O21,S_Scenarios)</f>
        <v>0.03</v>
      </c>
      <c r="P18" s="69" cm="1">
        <f t="array" ref="P18">INDEX(P19:P21,S_Scenarios)</f>
        <v>0.03</v>
      </c>
    </row>
    <row r="19" spans="3:16" x14ac:dyDescent="0.25">
      <c r="D19" t="s">
        <v>114</v>
      </c>
      <c r="E19" s="62" t="s">
        <v>90</v>
      </c>
      <c r="L19" s="67">
        <v>0.03</v>
      </c>
      <c r="M19" s="67">
        <v>0.03</v>
      </c>
      <c r="N19" s="67">
        <v>0.03</v>
      </c>
      <c r="O19" s="67">
        <v>0.03</v>
      </c>
      <c r="P19" s="67">
        <v>0.03</v>
      </c>
    </row>
    <row r="20" spans="3:16" x14ac:dyDescent="0.25">
      <c r="D20" t="s">
        <v>115</v>
      </c>
      <c r="E20" s="62" t="s">
        <v>90</v>
      </c>
      <c r="L20" s="67">
        <v>0.05</v>
      </c>
      <c r="M20" s="67">
        <v>0.05</v>
      </c>
      <c r="N20" s="67">
        <v>0.05</v>
      </c>
      <c r="O20" s="67">
        <v>0.05</v>
      </c>
      <c r="P20" s="67">
        <v>0.05</v>
      </c>
    </row>
    <row r="21" spans="3:16" x14ac:dyDescent="0.25">
      <c r="D21" t="s">
        <v>116</v>
      </c>
      <c r="E21" s="62" t="s">
        <v>90</v>
      </c>
      <c r="L21" s="67">
        <v>0.02</v>
      </c>
      <c r="M21" s="67">
        <v>0.02</v>
      </c>
      <c r="N21" s="67">
        <v>0.02</v>
      </c>
      <c r="O21" s="67">
        <v>0.02</v>
      </c>
      <c r="P21" s="67">
        <v>0.02</v>
      </c>
    </row>
    <row r="23" spans="3:16" x14ac:dyDescent="0.25">
      <c r="C23" s="60" t="s">
        <v>119</v>
      </c>
      <c r="D23" s="60"/>
      <c r="E23" s="66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spans="3:16" s="54" customFormat="1" ht="12.7" x14ac:dyDescent="0.25">
      <c r="D24" s="54" t="s">
        <v>118</v>
      </c>
      <c r="E24" s="68"/>
      <c r="L24" s="69" cm="1">
        <f t="array" ref="L24">INDEX(L25:L27,S_Scenarios)</f>
        <v>0.04</v>
      </c>
      <c r="M24" s="69" cm="1">
        <f t="array" ref="M24">INDEX(M25:M27,S_Scenarios)</f>
        <v>0.04</v>
      </c>
      <c r="N24" s="69" cm="1">
        <f t="array" ref="N24">INDEX(N25:N27,S_Scenarios)</f>
        <v>0.04</v>
      </c>
      <c r="O24" s="69" cm="1">
        <f t="array" ref="O24">INDEX(O25:O27,S_Scenarios)</f>
        <v>0.04</v>
      </c>
      <c r="P24" s="69" cm="1">
        <f t="array" ref="P24">INDEX(P25:P27,S_Scenarios)</f>
        <v>0.04</v>
      </c>
    </row>
    <row r="25" spans="3:16" x14ac:dyDescent="0.25">
      <c r="D25" t="s">
        <v>114</v>
      </c>
      <c r="E25" s="62" t="s">
        <v>90</v>
      </c>
      <c r="L25" s="67">
        <v>0.04</v>
      </c>
      <c r="M25" s="67">
        <v>0.04</v>
      </c>
      <c r="N25" s="67">
        <v>0.04</v>
      </c>
      <c r="O25" s="67">
        <v>0.04</v>
      </c>
      <c r="P25" s="67">
        <v>0.04</v>
      </c>
    </row>
    <row r="26" spans="3:16" x14ac:dyDescent="0.25">
      <c r="D26" t="s">
        <v>115</v>
      </c>
      <c r="E26" s="62" t="s">
        <v>90</v>
      </c>
      <c r="L26" s="67">
        <v>0.06</v>
      </c>
      <c r="M26" s="67">
        <v>0.06</v>
      </c>
      <c r="N26" s="67">
        <v>0.06</v>
      </c>
      <c r="O26" s="67">
        <v>0.06</v>
      </c>
      <c r="P26" s="67">
        <v>0.06</v>
      </c>
    </row>
    <row r="27" spans="3:16" x14ac:dyDescent="0.25">
      <c r="D27" t="s">
        <v>116</v>
      </c>
      <c r="E27" s="62" t="s">
        <v>90</v>
      </c>
      <c r="L27" s="67">
        <v>0.02</v>
      </c>
      <c r="M27" s="67">
        <v>0.02</v>
      </c>
      <c r="N27" s="67">
        <v>0.02</v>
      </c>
      <c r="O27" s="67">
        <v>0.02</v>
      </c>
      <c r="P27" s="67">
        <v>0.02</v>
      </c>
    </row>
    <row r="29" spans="3:16" x14ac:dyDescent="0.25">
      <c r="C29" s="60" t="s">
        <v>270</v>
      </c>
      <c r="D29" s="60"/>
      <c r="E29" s="66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</row>
    <row r="30" spans="3:16" x14ac:dyDescent="0.25">
      <c r="C30" s="54"/>
      <c r="D30" s="54" t="s">
        <v>118</v>
      </c>
      <c r="E30" s="68"/>
      <c r="F30" s="54"/>
      <c r="G30" s="54"/>
      <c r="H30" s="54"/>
      <c r="I30" s="54"/>
      <c r="J30" s="54"/>
      <c r="K30" s="54"/>
      <c r="L30" s="69" cm="1">
        <f t="array" ref="L30">INDEX(L31:L33,S_Scenarios)</f>
        <v>0.02</v>
      </c>
      <c r="M30" s="69" cm="1">
        <f t="array" ref="M30">INDEX(M31:M33,S_Scenarios)</f>
        <v>0.02</v>
      </c>
      <c r="N30" s="69" cm="1">
        <f t="array" ref="N30">INDEX(N31:N33,S_Scenarios)</f>
        <v>0.02</v>
      </c>
      <c r="O30" s="69" cm="1">
        <f t="array" ref="O30">INDEX(O31:O33,S_Scenarios)</f>
        <v>0.02</v>
      </c>
      <c r="P30" s="69" cm="1">
        <f t="array" ref="P30">INDEX(P31:P33,S_Scenarios)</f>
        <v>0.02</v>
      </c>
    </row>
    <row r="31" spans="3:16" x14ac:dyDescent="0.25">
      <c r="D31" t="s">
        <v>114</v>
      </c>
      <c r="E31" s="62" t="s">
        <v>90</v>
      </c>
      <c r="L31" s="67">
        <v>0.02</v>
      </c>
      <c r="M31" s="67">
        <v>0.02</v>
      </c>
      <c r="N31" s="67">
        <v>0.02</v>
      </c>
      <c r="O31" s="67">
        <v>0.02</v>
      </c>
      <c r="P31" s="67">
        <v>0.02</v>
      </c>
    </row>
    <row r="32" spans="3:16" x14ac:dyDescent="0.25">
      <c r="D32" t="s">
        <v>115</v>
      </c>
      <c r="E32" s="62" t="s">
        <v>90</v>
      </c>
      <c r="L32" s="67">
        <v>0.03</v>
      </c>
      <c r="M32" s="67">
        <v>0.03</v>
      </c>
      <c r="N32" s="67">
        <v>0.03</v>
      </c>
      <c r="O32" s="67">
        <v>0.03</v>
      </c>
      <c r="P32" s="67">
        <v>0.03</v>
      </c>
    </row>
    <row r="33" spans="3:16" x14ac:dyDescent="0.25">
      <c r="D33" t="s">
        <v>116</v>
      </c>
      <c r="E33" s="62" t="s">
        <v>90</v>
      </c>
      <c r="L33" s="67">
        <v>0.01</v>
      </c>
      <c r="M33" s="67">
        <v>0.01</v>
      </c>
      <c r="N33" s="67">
        <v>0.01</v>
      </c>
      <c r="O33" s="67">
        <v>0.01</v>
      </c>
      <c r="P33" s="67">
        <v>0.01</v>
      </c>
    </row>
    <row r="35" spans="3:16" x14ac:dyDescent="0.25">
      <c r="C35" s="60" t="s">
        <v>128</v>
      </c>
      <c r="D35" s="60"/>
      <c r="E35" s="66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</row>
    <row r="36" spans="3:16" x14ac:dyDescent="0.25">
      <c r="C36" s="54"/>
      <c r="D36" s="54" t="s">
        <v>118</v>
      </c>
      <c r="E36" s="68"/>
      <c r="F36" s="54"/>
      <c r="G36" s="54"/>
      <c r="H36" s="54"/>
      <c r="I36" s="54"/>
      <c r="J36" s="54"/>
      <c r="K36" s="54"/>
      <c r="L36" s="69" cm="1">
        <f t="array" ref="L36">INDEX(L37:L39,S_Scenarios)</f>
        <v>2.5000000000000001E-2</v>
      </c>
      <c r="M36" s="69" cm="1">
        <f t="array" ref="M36">INDEX(M37:M39,S_Scenarios)</f>
        <v>2.5000000000000001E-2</v>
      </c>
      <c r="N36" s="69" cm="1">
        <f t="array" ref="N36">INDEX(N37:N39,S_Scenarios)</f>
        <v>2.5000000000000001E-2</v>
      </c>
      <c r="O36" s="69" cm="1">
        <f t="array" ref="O36">INDEX(O37:O39,S_Scenarios)</f>
        <v>2.5000000000000001E-2</v>
      </c>
      <c r="P36" s="69" cm="1">
        <f t="array" ref="P36">INDEX(P37:P39,S_Scenarios)</f>
        <v>2.5000000000000001E-2</v>
      </c>
    </row>
    <row r="37" spans="3:16" x14ac:dyDescent="0.25">
      <c r="D37" t="s">
        <v>114</v>
      </c>
      <c r="E37" s="62" t="s">
        <v>90</v>
      </c>
      <c r="L37" s="67">
        <v>2.5000000000000001E-2</v>
      </c>
      <c r="M37" s="67">
        <v>2.5000000000000001E-2</v>
      </c>
      <c r="N37" s="67">
        <v>2.5000000000000001E-2</v>
      </c>
      <c r="O37" s="67">
        <v>2.5000000000000001E-2</v>
      </c>
      <c r="P37" s="67">
        <v>2.5000000000000001E-2</v>
      </c>
    </row>
    <row r="38" spans="3:16" x14ac:dyDescent="0.25">
      <c r="D38" t="s">
        <v>115</v>
      </c>
      <c r="E38" s="62" t="s">
        <v>90</v>
      </c>
      <c r="L38" s="67">
        <v>1.4999999999999999E-2</v>
      </c>
      <c r="M38" s="67">
        <v>1.4999999999999999E-2</v>
      </c>
      <c r="N38" s="67">
        <v>1.4999999999999999E-2</v>
      </c>
      <c r="O38" s="67">
        <v>1.4999999999999999E-2</v>
      </c>
      <c r="P38" s="67">
        <v>1.4999999999999999E-2</v>
      </c>
    </row>
    <row r="39" spans="3:16" x14ac:dyDescent="0.25">
      <c r="D39" t="s">
        <v>116</v>
      </c>
      <c r="E39" s="62" t="s">
        <v>90</v>
      </c>
      <c r="L39" s="67">
        <v>3.5000000000000003E-2</v>
      </c>
      <c r="M39" s="67">
        <v>3.5000000000000003E-2</v>
      </c>
      <c r="N39" s="67">
        <v>3.5000000000000003E-2</v>
      </c>
      <c r="O39" s="67">
        <v>3.5000000000000003E-2</v>
      </c>
      <c r="P39" s="67">
        <v>3.5000000000000003E-2</v>
      </c>
    </row>
  </sheetData>
  <mergeCells count="2">
    <mergeCell ref="J4:K4"/>
    <mergeCell ref="L4:M4"/>
  </mergeCells>
  <pageMargins left="0.7" right="0.7" top="0.75" bottom="0.75" header="0.3" footer="0.3"/>
  <pageSetup scale="86" fitToHeight="0" orientation="landscape" r:id="rId1"/>
  <headerFooter>
    <oddFooter>&amp;LFED Manufacturing Model&amp;CPage &amp;P of &amp;N&amp;RPrinted on &amp;D at &amp;T</oddFooter>
  </headerFooter>
  <rowBreaks count="1" manualBreakCount="1">
    <brk id="122" max="16383" man="1"/>
  </rowBreaks>
  <colBreaks count="1" manualBreakCount="1">
    <brk id="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11</xdr:row>
                    <xdr:rowOff>14630</xdr:rowOff>
                  </from>
                  <to>
                    <xdr:col>5</xdr:col>
                    <xdr:colOff>29261</xdr:colOff>
                    <xdr:row>12</xdr:row>
                    <xdr:rowOff>58522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0676-FE0B-411F-BD2F-5AB62616C9F0}">
  <sheetPr>
    <pageSetUpPr fitToPage="1"/>
  </sheetPr>
  <dimension ref="A1:AD353"/>
  <sheetViews>
    <sheetView showGridLines="0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Q164" sqref="Q164"/>
    </sheetView>
  </sheetViews>
  <sheetFormatPr defaultColWidth="16.453125" defaultRowHeight="13.85" x14ac:dyDescent="0.25"/>
  <cols>
    <col min="1" max="1" width="0.54296875" customWidth="1"/>
    <col min="2" max="3" width="1.81640625" customWidth="1"/>
    <col min="4" max="4" width="45.6328125" customWidth="1"/>
    <col min="5" max="5" width="8.6328125" style="62" customWidth="1"/>
    <col min="6" max="6" width="13.453125" customWidth="1"/>
    <col min="7" max="8" width="1.6328125" customWidth="1"/>
    <col min="9" max="9" width="11.36328125" customWidth="1"/>
    <col min="10" max="10" width="9.453125" customWidth="1"/>
    <col min="11" max="16" width="10.453125" customWidth="1"/>
    <col min="17" max="17" width="18.36328125" style="62" bestFit="1" customWidth="1"/>
    <col min="18" max="18" width="4.54296875" customWidth="1"/>
    <col min="19" max="19" width="8.1796875" customWidth="1"/>
    <col min="20" max="20" width="7.1796875" customWidth="1"/>
    <col min="21" max="21" width="6.1796875" customWidth="1"/>
    <col min="22" max="23" width="6.453125" customWidth="1"/>
    <col min="24" max="24" width="1.7265625" customWidth="1"/>
    <col min="25" max="25" width="7.54296875" customWidth="1"/>
    <col min="26" max="29" width="7.1796875" customWidth="1"/>
    <col min="16384" max="16384" width="15.1796875" customWidth="1"/>
  </cols>
  <sheetData>
    <row r="1" spans="1:30" ht="4.05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30" ht="26.5" x14ac:dyDescent="0.55000000000000004">
      <c r="A2" s="48"/>
      <c r="B2" s="49" t="str">
        <f>Hist!B1</f>
        <v>FED Manufacturing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30" x14ac:dyDescent="0.25">
      <c r="A3" s="48"/>
      <c r="B3" s="53" t="s">
        <v>80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30" x14ac:dyDescent="0.25">
      <c r="A4" s="48"/>
      <c r="B4" s="48"/>
      <c r="C4" s="48"/>
      <c r="D4" s="48"/>
      <c r="E4" s="48"/>
      <c r="F4" s="48"/>
      <c r="G4" s="48"/>
      <c r="H4" s="48"/>
      <c r="I4" s="48"/>
      <c r="J4" s="168" t="str">
        <f>"BS Check "&amp;BS_Check</f>
        <v>BS Check OK</v>
      </c>
      <c r="K4" s="169"/>
      <c r="L4" s="168" t="str">
        <f>LiveScenario</f>
        <v>Scenario: Base Case</v>
      </c>
      <c r="M4" s="169"/>
      <c r="N4" s="48"/>
      <c r="O4" s="48"/>
      <c r="P4" s="48"/>
    </row>
    <row r="5" spans="1:30" ht="3.05" customHeight="1" x14ac:dyDescent="0.25">
      <c r="E5"/>
    </row>
    <row r="6" spans="1:30" x14ac:dyDescent="0.25">
      <c r="E6"/>
      <c r="I6" s="50" t="s">
        <v>76</v>
      </c>
      <c r="J6" s="50" t="s">
        <v>76</v>
      </c>
      <c r="K6" s="50" t="s">
        <v>76</v>
      </c>
      <c r="L6" s="50" t="s">
        <v>77</v>
      </c>
      <c r="M6" s="50" t="s">
        <v>77</v>
      </c>
      <c r="N6" s="50" t="s">
        <v>77</v>
      </c>
      <c r="O6" s="50" t="s">
        <v>77</v>
      </c>
      <c r="P6" s="50" t="s">
        <v>77</v>
      </c>
    </row>
    <row r="7" spans="1:30" ht="14.4" x14ac:dyDescent="0.3">
      <c r="D7" s="54" t="s">
        <v>78</v>
      </c>
      <c r="E7" s="54" t="s">
        <v>73</v>
      </c>
      <c r="F7" s="54" t="s">
        <v>74</v>
      </c>
      <c r="I7" s="51">
        <f>Hist!G6</f>
        <v>2022</v>
      </c>
      <c r="J7" s="51">
        <f>Hist!H6</f>
        <v>2023</v>
      </c>
      <c r="K7" s="51">
        <f>Hist!I6</f>
        <v>2024</v>
      </c>
      <c r="L7" s="52">
        <f>K7+1</f>
        <v>2025</v>
      </c>
      <c r="M7" s="52">
        <f t="shared" ref="M7:P7" si="0">L7+1</f>
        <v>2026</v>
      </c>
      <c r="N7" s="52">
        <f t="shared" si="0"/>
        <v>2027</v>
      </c>
      <c r="O7" s="52">
        <f t="shared" si="0"/>
        <v>2028</v>
      </c>
      <c r="P7" s="52">
        <f t="shared" si="0"/>
        <v>2029</v>
      </c>
      <c r="Q7" s="103"/>
    </row>
    <row r="8" spans="1:30" x14ac:dyDescent="0.25">
      <c r="E8"/>
    </row>
    <row r="9" spans="1:30" ht="17.3" thickBot="1" x14ac:dyDescent="0.35">
      <c r="B9" s="59" t="s">
        <v>172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30" x14ac:dyDescent="0.25">
      <c r="C10" s="60" t="s">
        <v>66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30" s="54" customFormat="1" x14ac:dyDescent="0.25">
      <c r="D11" s="54" t="str">
        <f>Hist!C12</f>
        <v>Revenue</v>
      </c>
      <c r="E11" s="62" t="str">
        <f t="shared" ref="E11:E27" si="1">currency</f>
        <v>$'m</v>
      </c>
      <c r="I11" s="81">
        <f>Hist!G12</f>
        <v>3194.1</v>
      </c>
      <c r="J11" s="81">
        <f>Hist!H12</f>
        <v>3524.7</v>
      </c>
      <c r="K11" s="81">
        <f>Hist!I12</f>
        <v>3829.2</v>
      </c>
      <c r="L11" s="54">
        <f>L130</f>
        <v>3981.41</v>
      </c>
      <c r="M11" s="54">
        <f t="shared" ref="M11:P11" si="2">M130</f>
        <v>4094.4926</v>
      </c>
      <c r="N11" s="54">
        <f t="shared" si="2"/>
        <v>4274.2186499999998</v>
      </c>
      <c r="O11" s="54">
        <f t="shared" si="2"/>
        <v>4395.82857762</v>
      </c>
      <c r="P11" s="54">
        <f t="shared" si="2"/>
        <v>4588.1923667403998</v>
      </c>
      <c r="Q11" s="62" t="str">
        <f t="shared" ref="Q11:Q76" ca="1" si="3">_xlfn.FORMULATEXT(L11)</f>
        <v>=L130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x14ac:dyDescent="0.25">
      <c r="D12" t="str">
        <f>Hist!C14</f>
        <v>Cost of Sales</v>
      </c>
      <c r="E12" s="62" t="str">
        <f t="shared" si="1"/>
        <v>$'m</v>
      </c>
      <c r="I12" s="58">
        <f>Hist!G14</f>
        <v>2291.3000000000002</v>
      </c>
      <c r="J12" s="58">
        <f>Hist!H14</f>
        <v>2565.9</v>
      </c>
      <c r="K12" s="58">
        <f>Hist!I14</f>
        <v>2788.8</v>
      </c>
      <c r="L12">
        <f>L143</f>
        <v>2879.2653809776339</v>
      </c>
      <c r="M12">
        <f t="shared" ref="M12:P12" si="4">M143</f>
        <v>2951.2470155020737</v>
      </c>
      <c r="N12">
        <f t="shared" si="4"/>
        <v>3054.913432534976</v>
      </c>
      <c r="O12">
        <f t="shared" si="4"/>
        <v>3131.2862683483504</v>
      </c>
      <c r="P12">
        <f t="shared" si="4"/>
        <v>3240.9666070607054</v>
      </c>
      <c r="Q12" s="62" t="str">
        <f t="shared" ca="1" si="3"/>
        <v>=L143</v>
      </c>
    </row>
    <row r="13" spans="1:30" x14ac:dyDescent="0.25">
      <c r="D13" t="str">
        <f>Hist!C15</f>
        <v>SG&amp;A</v>
      </c>
      <c r="E13" s="62" t="str">
        <f t="shared" si="1"/>
        <v>$'m</v>
      </c>
      <c r="I13" s="58">
        <f>Hist!G15</f>
        <v>519.4</v>
      </c>
      <c r="J13" s="58">
        <f>Hist!H15</f>
        <v>544.70000000000005</v>
      </c>
      <c r="K13" s="58">
        <f>Hist!I15</f>
        <v>572.9</v>
      </c>
      <c r="L13">
        <f>L151</f>
        <v>635</v>
      </c>
      <c r="M13">
        <f t="shared" ref="M13:P13" si="5">M151</f>
        <v>650.875</v>
      </c>
      <c r="N13">
        <f t="shared" si="5"/>
        <v>667.14687499999991</v>
      </c>
      <c r="O13">
        <f t="shared" si="5"/>
        <v>683.82554687499987</v>
      </c>
      <c r="P13">
        <f t="shared" si="5"/>
        <v>700.92118554687477</v>
      </c>
      <c r="Q13" s="62" t="str">
        <f t="shared" ca="1" si="3"/>
        <v>=L151</v>
      </c>
    </row>
    <row r="14" spans="1:30" s="54" customFormat="1" x14ac:dyDescent="0.25">
      <c r="D14" s="54" t="str">
        <f>Hist!C16</f>
        <v>Total Costs</v>
      </c>
      <c r="E14" s="62" t="str">
        <f t="shared" si="1"/>
        <v>$'m</v>
      </c>
      <c r="I14" s="80">
        <f>I12+I13</f>
        <v>2810.7000000000003</v>
      </c>
      <c r="J14" s="80">
        <f t="shared" ref="J14:P14" si="6">J12+J13</f>
        <v>3110.6000000000004</v>
      </c>
      <c r="K14" s="80">
        <f t="shared" si="6"/>
        <v>3361.7000000000003</v>
      </c>
      <c r="L14" s="80">
        <f t="shared" si="6"/>
        <v>3514.2653809776339</v>
      </c>
      <c r="M14" s="80">
        <f t="shared" si="6"/>
        <v>3602.1220155020737</v>
      </c>
      <c r="N14" s="80">
        <f t="shared" si="6"/>
        <v>3722.0603075349759</v>
      </c>
      <c r="O14" s="80">
        <f t="shared" si="6"/>
        <v>3815.1118152233503</v>
      </c>
      <c r="P14" s="80">
        <f t="shared" si="6"/>
        <v>3941.8877926075802</v>
      </c>
      <c r="Q14" s="62" t="str">
        <f t="shared" ca="1" si="3"/>
        <v>=L12+L13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x14ac:dyDescent="0.25">
      <c r="D15" t="str">
        <f>Hist!C18</f>
        <v>Cost Adjustments - Gain / (Loss)</v>
      </c>
      <c r="E15" s="62" t="str">
        <f t="shared" si="1"/>
        <v>$'m</v>
      </c>
      <c r="I15" s="58">
        <f>Hist!G18</f>
        <v>-7</v>
      </c>
      <c r="J15" s="58">
        <f>Hist!H18</f>
        <v>-4.1999999999999993</v>
      </c>
      <c r="K15" s="58">
        <f>Hist!I18</f>
        <v>2</v>
      </c>
      <c r="L15">
        <f>Inp!L125</f>
        <v>0</v>
      </c>
      <c r="M15">
        <f>Inp!M125</f>
        <v>0</v>
      </c>
      <c r="N15">
        <f>Inp!N125</f>
        <v>0</v>
      </c>
      <c r="O15">
        <f>Inp!O125</f>
        <v>0</v>
      </c>
      <c r="P15">
        <f>Inp!P125</f>
        <v>0</v>
      </c>
      <c r="Q15" s="62" t="str">
        <f t="shared" ca="1" si="3"/>
        <v>=Inp!L125</v>
      </c>
    </row>
    <row r="16" spans="1:30" s="54" customFormat="1" x14ac:dyDescent="0.25">
      <c r="D16" s="54" t="str">
        <f>Hist!C19</f>
        <v>EBITDA</v>
      </c>
      <c r="E16" s="62" t="str">
        <f t="shared" si="1"/>
        <v>$'m</v>
      </c>
      <c r="I16" s="80">
        <f>I11-I14-I15</f>
        <v>390.39999999999964</v>
      </c>
      <c r="J16" s="80">
        <f t="shared" ref="J16:P16" si="7">J11-J14-J15</f>
        <v>418.29999999999944</v>
      </c>
      <c r="K16" s="80">
        <f t="shared" si="7"/>
        <v>465.49999999999955</v>
      </c>
      <c r="L16" s="80">
        <f t="shared" si="7"/>
        <v>467.14461902236599</v>
      </c>
      <c r="M16" s="80">
        <f t="shared" si="7"/>
        <v>492.3705844979263</v>
      </c>
      <c r="N16" s="80">
        <f t="shared" si="7"/>
        <v>552.15834246502391</v>
      </c>
      <c r="O16" s="80">
        <f t="shared" si="7"/>
        <v>580.71676239664976</v>
      </c>
      <c r="P16" s="80">
        <f t="shared" si="7"/>
        <v>646.30457413281965</v>
      </c>
      <c r="Q16" s="62" t="str">
        <f t="shared" ca="1" si="3"/>
        <v>=L11-L14-L15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3:30" x14ac:dyDescent="0.25">
      <c r="D17" t="str">
        <f>Hist!C21</f>
        <v>Depreciation &amp; Amortization</v>
      </c>
      <c r="E17" s="62" t="str">
        <f t="shared" si="1"/>
        <v>$'m</v>
      </c>
      <c r="I17" s="58">
        <f>Hist!G21</f>
        <v>95.1</v>
      </c>
      <c r="J17" s="58">
        <f>Hist!H21</f>
        <v>113.2</v>
      </c>
      <c r="K17" s="58">
        <f>Hist!I21</f>
        <v>126.2</v>
      </c>
      <c r="L17">
        <f>L173+L196</f>
        <v>118.34977272727272</v>
      </c>
      <c r="M17">
        <f t="shared" ref="M17:P17" si="8">M173+M196</f>
        <v>127.04926213842977</v>
      </c>
      <c r="N17">
        <f t="shared" si="8"/>
        <v>134.98573230624294</v>
      </c>
      <c r="O17">
        <f t="shared" si="8"/>
        <v>143.03133798540435</v>
      </c>
      <c r="P17">
        <f t="shared" si="8"/>
        <v>151.08431258073216</v>
      </c>
      <c r="Q17" s="62" t="str">
        <f t="shared" ca="1" si="3"/>
        <v>=L173+L196</v>
      </c>
    </row>
    <row r="18" spans="3:30" s="54" customFormat="1" x14ac:dyDescent="0.25">
      <c r="D18" s="54" t="str">
        <f>Hist!C22</f>
        <v>EBIT</v>
      </c>
      <c r="E18" s="62" t="str">
        <f t="shared" si="1"/>
        <v>$'m</v>
      </c>
      <c r="I18" s="80">
        <f>I16-I17</f>
        <v>295.29999999999961</v>
      </c>
      <c r="J18" s="80">
        <f t="shared" ref="J18:P18" si="9">J16-J17</f>
        <v>305.09999999999945</v>
      </c>
      <c r="K18" s="80">
        <f t="shared" si="9"/>
        <v>339.29999999999956</v>
      </c>
      <c r="L18" s="80">
        <f t="shared" si="9"/>
        <v>348.79484629509329</v>
      </c>
      <c r="M18" s="80">
        <f t="shared" si="9"/>
        <v>365.32132235949655</v>
      </c>
      <c r="N18" s="80">
        <f t="shared" si="9"/>
        <v>417.17261015878097</v>
      </c>
      <c r="O18" s="80">
        <f t="shared" si="9"/>
        <v>437.68542441124544</v>
      </c>
      <c r="P18" s="80">
        <f t="shared" si="9"/>
        <v>495.22026155208749</v>
      </c>
      <c r="Q18" s="62" t="str">
        <f t="shared" ca="1" si="3"/>
        <v>=L16-L17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3:30" x14ac:dyDescent="0.25">
      <c r="D19" t="str">
        <f>Hist!C24</f>
        <v>Cost Adjustments - Gain / (Loss)</v>
      </c>
      <c r="E19" s="62" t="str">
        <f t="shared" si="1"/>
        <v>$'m</v>
      </c>
      <c r="I19" s="58">
        <f>Hist!G24</f>
        <v>59.9</v>
      </c>
      <c r="J19" s="58">
        <f>Hist!H24</f>
        <v>57</v>
      </c>
      <c r="K19" s="58">
        <f>Hist!I24</f>
        <v>51.6</v>
      </c>
      <c r="L19">
        <f>Inp!L126</f>
        <v>0</v>
      </c>
      <c r="M19">
        <f>Inp!M126</f>
        <v>0</v>
      </c>
      <c r="N19">
        <f>Inp!N126</f>
        <v>0</v>
      </c>
      <c r="O19">
        <f>Inp!O126</f>
        <v>0</v>
      </c>
      <c r="P19">
        <f>Inp!P126</f>
        <v>0</v>
      </c>
      <c r="Q19" s="62" t="str">
        <f t="shared" ca="1" si="3"/>
        <v>=Inp!L126</v>
      </c>
    </row>
    <row r="20" spans="3:30" x14ac:dyDescent="0.25">
      <c r="D20" t="str">
        <f>Hist!C25</f>
        <v>Net Interest Expense</v>
      </c>
      <c r="E20" s="62" t="str">
        <f t="shared" si="1"/>
        <v>$'m</v>
      </c>
      <c r="I20" s="58">
        <f>Hist!G25</f>
        <v>62</v>
      </c>
      <c r="J20" s="58">
        <f>Hist!H25</f>
        <v>56.599999999999994</v>
      </c>
      <c r="K20" s="58">
        <f>Hist!I25</f>
        <v>59.1</v>
      </c>
      <c r="L20">
        <f>L326</f>
        <v>76.342100000000016</v>
      </c>
      <c r="M20">
        <f t="shared" ref="M20:P20" si="10">M326</f>
        <v>52.2060406631064</v>
      </c>
      <c r="N20">
        <f t="shared" si="10"/>
        <v>54.571556442450223</v>
      </c>
      <c r="O20">
        <f t="shared" si="10"/>
        <v>56.580928625318542</v>
      </c>
      <c r="P20">
        <f t="shared" si="10"/>
        <v>57.606353071367643</v>
      </c>
      <c r="Q20" s="62" t="str">
        <f t="shared" ca="1" si="3"/>
        <v>=L326</v>
      </c>
    </row>
    <row r="21" spans="3:30" s="54" customFormat="1" x14ac:dyDescent="0.25">
      <c r="D21" s="54" t="str">
        <f>Hist!C26</f>
        <v>EBT</v>
      </c>
      <c r="E21" s="62" t="str">
        <f t="shared" si="1"/>
        <v>$'m</v>
      </c>
      <c r="I21" s="80">
        <f>I18-I19-I20</f>
        <v>173.39999999999961</v>
      </c>
      <c r="J21" s="80">
        <f t="shared" ref="J21:P21" si="11">J18-J19-J20</f>
        <v>191.49999999999946</v>
      </c>
      <c r="K21" s="80">
        <f t="shared" si="11"/>
        <v>228.59999999999954</v>
      </c>
      <c r="L21" s="80">
        <f t="shared" si="11"/>
        <v>272.45274629509328</v>
      </c>
      <c r="M21" s="80">
        <f t="shared" si="11"/>
        <v>313.11528169639013</v>
      </c>
      <c r="N21" s="80">
        <f t="shared" si="11"/>
        <v>362.60105371633074</v>
      </c>
      <c r="O21" s="80">
        <f t="shared" si="11"/>
        <v>381.10449578592687</v>
      </c>
      <c r="P21" s="80">
        <f t="shared" si="11"/>
        <v>437.61390848071983</v>
      </c>
      <c r="Q21" s="62" t="str">
        <f t="shared" ca="1" si="3"/>
        <v>=L18-L19-L20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3:30" x14ac:dyDescent="0.25">
      <c r="D22" t="str">
        <f>Hist!C28</f>
        <v>Current Taxes</v>
      </c>
      <c r="E22" s="62" t="str">
        <f t="shared" si="1"/>
        <v>$'m</v>
      </c>
      <c r="I22" s="58">
        <f>Hist!G28</f>
        <v>47.805999999999912</v>
      </c>
      <c r="J22" s="58">
        <f>Hist!H28</f>
        <v>49.609999999999879</v>
      </c>
      <c r="K22" s="58">
        <f>Hist!I28</f>
        <v>59.443999999999896</v>
      </c>
      <c r="L22">
        <f>L207</f>
        <v>103.75846120328264</v>
      </c>
      <c r="M22">
        <f t="shared" ref="M22:P22" si="12">M207</f>
        <v>117.99034859373654</v>
      </c>
      <c r="N22">
        <f t="shared" si="12"/>
        <v>135.31036880071574</v>
      </c>
      <c r="O22">
        <f t="shared" si="12"/>
        <v>141.7865735250744</v>
      </c>
      <c r="P22">
        <f t="shared" si="12"/>
        <v>161.56486796825192</v>
      </c>
      <c r="Q22" s="62" t="str">
        <f t="shared" ca="1" si="3"/>
        <v>=L207</v>
      </c>
    </row>
    <row r="23" spans="3:30" x14ac:dyDescent="0.25">
      <c r="D23" t="str">
        <f>Hist!C29</f>
        <v>Deferred Income Taxes</v>
      </c>
      <c r="E23" s="62" t="str">
        <f t="shared" si="1"/>
        <v>$'m</v>
      </c>
      <c r="I23" s="58">
        <f>Hist!G29</f>
        <v>16.899999999999999</v>
      </c>
      <c r="J23" s="58">
        <f>Hist!H29</f>
        <v>31.7</v>
      </c>
      <c r="K23" s="58">
        <f>Hist!I29</f>
        <v>23.999999999999996</v>
      </c>
      <c r="L23">
        <f>-L208</f>
        <v>-8.3999999999999986</v>
      </c>
      <c r="M23">
        <f t="shared" ref="M23:P23" si="13">-M208</f>
        <v>-8.3999999999999986</v>
      </c>
      <c r="N23">
        <f t="shared" si="13"/>
        <v>-8.3999999999999986</v>
      </c>
      <c r="O23">
        <f t="shared" si="13"/>
        <v>-8.3999999999999986</v>
      </c>
      <c r="P23">
        <f t="shared" si="13"/>
        <v>-8.3999999999999986</v>
      </c>
      <c r="Q23" s="62" t="str">
        <f t="shared" ca="1" si="3"/>
        <v>=-L208</v>
      </c>
    </row>
    <row r="24" spans="3:30" s="54" customFormat="1" x14ac:dyDescent="0.25">
      <c r="D24" s="54" t="str">
        <f>Hist!C30</f>
        <v>Total Income Taxes</v>
      </c>
      <c r="E24" s="62" t="str">
        <f t="shared" si="1"/>
        <v>$'m</v>
      </c>
      <c r="I24" s="54">
        <f>I22+I23</f>
        <v>64.705999999999904</v>
      </c>
      <c r="J24" s="54">
        <f t="shared" ref="J24:P24" si="14">J22+J23</f>
        <v>81.309999999999874</v>
      </c>
      <c r="K24" s="54">
        <f t="shared" si="14"/>
        <v>83.443999999999889</v>
      </c>
      <c r="L24" s="54">
        <f t="shared" si="14"/>
        <v>95.358461203282644</v>
      </c>
      <c r="M24" s="54">
        <f t="shared" si="14"/>
        <v>109.59034859373654</v>
      </c>
      <c r="N24" s="54">
        <f t="shared" si="14"/>
        <v>126.91036880071573</v>
      </c>
      <c r="O24" s="54">
        <f t="shared" si="14"/>
        <v>133.3865735250744</v>
      </c>
      <c r="P24" s="54">
        <f t="shared" si="14"/>
        <v>153.16486796825191</v>
      </c>
      <c r="Q24" s="62" t="str">
        <f t="shared" ca="1" si="3"/>
        <v>=L22+L23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3:30" s="54" customFormat="1" x14ac:dyDescent="0.25">
      <c r="D25" s="54" t="str">
        <f>Hist!C32</f>
        <v>Net Income</v>
      </c>
      <c r="E25" s="62" t="str">
        <f t="shared" si="1"/>
        <v>$'m</v>
      </c>
      <c r="I25" s="80">
        <f>I21-I24</f>
        <v>108.6939999999997</v>
      </c>
      <c r="J25" s="80">
        <f t="shared" ref="J25:P25" si="15">J21-J24</f>
        <v>110.18999999999959</v>
      </c>
      <c r="K25" s="80">
        <f t="shared" si="15"/>
        <v>145.15599999999966</v>
      </c>
      <c r="L25" s="80">
        <f t="shared" si="15"/>
        <v>177.09428509181063</v>
      </c>
      <c r="M25" s="80">
        <f t="shared" si="15"/>
        <v>203.52493310265359</v>
      </c>
      <c r="N25" s="80">
        <f t="shared" si="15"/>
        <v>235.69068491561501</v>
      </c>
      <c r="O25" s="80">
        <f t="shared" si="15"/>
        <v>247.71792226085248</v>
      </c>
      <c r="P25" s="80">
        <f t="shared" si="15"/>
        <v>284.44904051246795</v>
      </c>
      <c r="Q25" s="62" t="str">
        <f t="shared" ca="1" si="3"/>
        <v>=L21-L24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3:30" x14ac:dyDescent="0.25">
      <c r="D26" t="str">
        <f>Hist!C34</f>
        <v>Preferred Dividend</v>
      </c>
      <c r="E26" s="62" t="str">
        <f t="shared" si="1"/>
        <v>$'m</v>
      </c>
      <c r="I26" s="58">
        <f>Hist!G34</f>
        <v>0.54400000000000004</v>
      </c>
      <c r="J26" s="58">
        <f>Hist!H34</f>
        <v>0.54400000000000004</v>
      </c>
      <c r="K26" s="58">
        <f>Hist!I34</f>
        <v>0.54400000000000004</v>
      </c>
      <c r="L26">
        <f t="shared" ref="L26:P26" si="16">L338</f>
        <v>2.8879999999999999</v>
      </c>
      <c r="M26">
        <f t="shared" si="16"/>
        <v>7.3055000000000003</v>
      </c>
      <c r="N26">
        <f t="shared" si="16"/>
        <v>11.580500000000001</v>
      </c>
      <c r="O26">
        <f t="shared" si="16"/>
        <v>15.855500000000001</v>
      </c>
      <c r="P26">
        <f t="shared" si="16"/>
        <v>20.130500000000001</v>
      </c>
      <c r="Q26" s="62" t="str">
        <f t="shared" ca="1" si="3"/>
        <v>=L338</v>
      </c>
    </row>
    <row r="27" spans="3:30" s="54" customFormat="1" ht="14.4" thickBot="1" x14ac:dyDescent="0.3">
      <c r="D27" s="54" t="str">
        <f>Hist!C35</f>
        <v>Net Income to Common</v>
      </c>
      <c r="E27" s="62" t="str">
        <f t="shared" si="1"/>
        <v>$'m</v>
      </c>
      <c r="I27" s="79">
        <f>Hist!G35</f>
        <v>108.14999999999971</v>
      </c>
      <c r="J27" s="79">
        <f>Hist!H35</f>
        <v>109.64599999999959</v>
      </c>
      <c r="K27" s="79">
        <f>Hist!I35</f>
        <v>144.61199999999965</v>
      </c>
      <c r="L27" s="79">
        <f>L25-L26</f>
        <v>174.20628509181063</v>
      </c>
      <c r="M27" s="79">
        <f t="shared" ref="M27:P27" si="17">M25-M26</f>
        <v>196.2194331026536</v>
      </c>
      <c r="N27" s="79">
        <f t="shared" si="17"/>
        <v>224.11018491561501</v>
      </c>
      <c r="O27" s="79">
        <f t="shared" si="17"/>
        <v>231.86242226085247</v>
      </c>
      <c r="P27" s="79">
        <f t="shared" si="17"/>
        <v>264.31854051246796</v>
      </c>
      <c r="Q27" s="62" t="str">
        <f t="shared" ca="1" si="3"/>
        <v>=L25-L26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3:30" ht="14.4" thickTop="1" x14ac:dyDescent="0.25"/>
    <row r="29" spans="3:30" x14ac:dyDescent="0.25">
      <c r="C29" s="73"/>
      <c r="D29" s="108" t="s">
        <v>254</v>
      </c>
      <c r="E29" s="109" t="s">
        <v>90</v>
      </c>
      <c r="F29" s="108"/>
      <c r="G29" s="108"/>
      <c r="H29" s="108"/>
      <c r="I29" s="110">
        <f>I16/I11</f>
        <v>0.12222535299458365</v>
      </c>
      <c r="J29" s="110">
        <f t="shared" ref="J29:P29" si="18">J16/J11</f>
        <v>0.11867676681703392</v>
      </c>
      <c r="K29" s="110">
        <f t="shared" si="18"/>
        <v>0.12156586232111134</v>
      </c>
      <c r="L29" s="110">
        <f t="shared" si="18"/>
        <v>0.11733145268193078</v>
      </c>
      <c r="M29" s="110">
        <f t="shared" si="18"/>
        <v>0.12025191705021675</v>
      </c>
      <c r="N29" s="110">
        <f t="shared" si="18"/>
        <v>0.12918345730044109</v>
      </c>
      <c r="O29" s="110">
        <f t="shared" si="18"/>
        <v>0.13210632583654178</v>
      </c>
      <c r="P29" s="111">
        <f t="shared" si="18"/>
        <v>0.14086257124218515</v>
      </c>
      <c r="Q29" s="62" t="str">
        <f t="shared" ca="1" si="3"/>
        <v>=L16/L11</v>
      </c>
    </row>
    <row r="30" spans="3:30" x14ac:dyDescent="0.25">
      <c r="C30" s="112" t="s">
        <v>255</v>
      </c>
      <c r="D30" s="113"/>
      <c r="E30" s="114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5"/>
    </row>
    <row r="31" spans="3:30" x14ac:dyDescent="0.25">
      <c r="C31" s="75"/>
      <c r="D31" s="113" t="s">
        <v>256</v>
      </c>
      <c r="E31" s="114" t="s">
        <v>90</v>
      </c>
      <c r="F31" s="113"/>
      <c r="G31" s="113"/>
      <c r="H31" s="113"/>
      <c r="I31" s="116">
        <f>I25/I104</f>
        <v>14.589798657718305</v>
      </c>
      <c r="J31" s="116">
        <f t="shared" ref="J31:P31" si="19">J25/J104</f>
        <v>1.8124547667609892</v>
      </c>
      <c r="K31" s="116">
        <f t="shared" si="19"/>
        <v>0.87124267742245454</v>
      </c>
      <c r="L31" s="116">
        <f t="shared" si="19"/>
        <v>0.72857836309826596</v>
      </c>
      <c r="M31" s="116">
        <f t="shared" si="19"/>
        <v>0.54785009178507449</v>
      </c>
      <c r="N31" s="116">
        <f t="shared" si="19"/>
        <v>0.43899052905075231</v>
      </c>
      <c r="O31" s="116">
        <f t="shared" si="19"/>
        <v>0.35010221174029676</v>
      </c>
      <c r="P31" s="117">
        <f t="shared" si="19"/>
        <v>0.31595076324374283</v>
      </c>
      <c r="Q31" s="62" t="str">
        <f t="shared" ca="1" si="3"/>
        <v>=L25/L104</v>
      </c>
    </row>
    <row r="32" spans="3:30" x14ac:dyDescent="0.25">
      <c r="C32" s="75"/>
      <c r="D32" s="113" t="s">
        <v>257</v>
      </c>
      <c r="E32" s="114" t="s">
        <v>90</v>
      </c>
      <c r="F32" s="113"/>
      <c r="G32" s="113"/>
      <c r="H32" s="113"/>
      <c r="I32" s="116">
        <f>I25/I11</f>
        <v>3.4029617106540094E-2</v>
      </c>
      <c r="J32" s="116">
        <f t="shared" ref="J32:P32" si="20">J25/J11</f>
        <v>3.1262235083836805E-2</v>
      </c>
      <c r="K32" s="116">
        <f t="shared" si="20"/>
        <v>3.7907656951843643E-2</v>
      </c>
      <c r="L32" s="116">
        <f t="shared" si="20"/>
        <v>4.4480293436699722E-2</v>
      </c>
      <c r="M32" s="116">
        <f t="shared" si="20"/>
        <v>4.9706997419571256E-2</v>
      </c>
      <c r="N32" s="116">
        <f t="shared" si="20"/>
        <v>5.5142402440178165E-2</v>
      </c>
      <c r="O32" s="116">
        <f t="shared" si="20"/>
        <v>5.6352953234353034E-2</v>
      </c>
      <c r="P32" s="117">
        <f t="shared" si="20"/>
        <v>6.1995883732867491E-2</v>
      </c>
      <c r="Q32" s="62" t="str">
        <f t="shared" ca="1" si="3"/>
        <v>=L25/L11</v>
      </c>
    </row>
    <row r="33" spans="3:17" x14ac:dyDescent="0.25">
      <c r="C33" s="75"/>
      <c r="D33" s="113" t="s">
        <v>258</v>
      </c>
      <c r="E33" s="114" t="s">
        <v>224</v>
      </c>
      <c r="F33" s="113"/>
      <c r="G33" s="113"/>
      <c r="H33" s="113"/>
      <c r="I33" s="118">
        <f>I11/I85</f>
        <v>1.6087536830441462</v>
      </c>
      <c r="J33" s="118">
        <f t="shared" ref="J33:P33" si="21">J11/J85</f>
        <v>1.1679328909942557</v>
      </c>
      <c r="K33" s="118">
        <f t="shared" si="21"/>
        <v>1.2776316368979699</v>
      </c>
      <c r="L33" s="118">
        <f t="shared" si="21"/>
        <v>1.5983918505736585</v>
      </c>
      <c r="M33" s="118">
        <f t="shared" si="21"/>
        <v>1.5450557063814176</v>
      </c>
      <c r="N33" s="118">
        <f t="shared" si="21"/>
        <v>1.4825629704441747</v>
      </c>
      <c r="O33" s="118">
        <f t="shared" si="21"/>
        <v>1.421433581654107</v>
      </c>
      <c r="P33" s="119">
        <f t="shared" si="21"/>
        <v>1.3839486758049682</v>
      </c>
      <c r="Q33" s="62" t="str">
        <f t="shared" ca="1" si="3"/>
        <v>=L11/L85</v>
      </c>
    </row>
    <row r="34" spans="3:17" x14ac:dyDescent="0.25">
      <c r="C34" s="77"/>
      <c r="D34" s="120" t="s">
        <v>259</v>
      </c>
      <c r="E34" s="121" t="s">
        <v>264</v>
      </c>
      <c r="F34" s="120"/>
      <c r="G34" s="120"/>
      <c r="H34" s="120"/>
      <c r="I34" s="120">
        <f>I85/I104</f>
        <v>266.50335570470207</v>
      </c>
      <c r="J34" s="120">
        <f t="shared" ref="J34:P34" si="22">J85/J104</f>
        <v>49.63971313902298</v>
      </c>
      <c r="K34" s="120">
        <f t="shared" si="22"/>
        <v>17.988980121002669</v>
      </c>
      <c r="L34" s="120">
        <f t="shared" si="22"/>
        <v>10.247675611022478</v>
      </c>
      <c r="M34" s="120">
        <f t="shared" si="22"/>
        <v>7.1334573051531862</v>
      </c>
      <c r="N34" s="120">
        <f t="shared" si="22"/>
        <v>5.3697778428519172</v>
      </c>
      <c r="O34" s="120">
        <f t="shared" si="22"/>
        <v>4.3707060808349709</v>
      </c>
      <c r="P34" s="122">
        <f t="shared" si="22"/>
        <v>3.682447545314643</v>
      </c>
      <c r="Q34" s="62" t="str">
        <f t="shared" ca="1" si="3"/>
        <v>=L85/L104</v>
      </c>
    </row>
    <row r="39" spans="3:17" x14ac:dyDescent="0.25">
      <c r="C39" s="60" t="s">
        <v>175</v>
      </c>
      <c r="D39" s="60"/>
      <c r="E39" s="82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</row>
    <row r="40" spans="3:17" s="54" customFormat="1" ht="12.7" x14ac:dyDescent="0.25">
      <c r="C40" s="61" t="str">
        <f>Hist!B43</f>
        <v>Operating Activities</v>
      </c>
      <c r="E40" s="62"/>
      <c r="Q40" s="62"/>
    </row>
    <row r="41" spans="3:17" x14ac:dyDescent="0.25">
      <c r="D41" t="str">
        <f>Hist!C44</f>
        <v>Net Income</v>
      </c>
      <c r="E41" s="62" t="s">
        <v>99</v>
      </c>
      <c r="I41" s="58">
        <f>Hist!G44</f>
        <v>108.6939999999997</v>
      </c>
      <c r="J41" s="58">
        <f>Hist!H44</f>
        <v>110.18999999999959</v>
      </c>
      <c r="K41" s="58">
        <f>Hist!I44</f>
        <v>145.15599999999966</v>
      </c>
      <c r="L41">
        <f>L25</f>
        <v>177.09428509181063</v>
      </c>
      <c r="M41">
        <f t="shared" ref="M41:P41" si="23">M25</f>
        <v>203.52493310265359</v>
      </c>
      <c r="N41">
        <f t="shared" si="23"/>
        <v>235.69068491561501</v>
      </c>
      <c r="O41">
        <f t="shared" si="23"/>
        <v>247.71792226085248</v>
      </c>
      <c r="P41">
        <f t="shared" si="23"/>
        <v>284.44904051246795</v>
      </c>
      <c r="Q41" s="62" t="str">
        <f t="shared" ca="1" si="3"/>
        <v>=L25</v>
      </c>
    </row>
    <row r="42" spans="3:17" x14ac:dyDescent="0.25">
      <c r="D42" t="str">
        <f>Hist!C45</f>
        <v>Depreciation</v>
      </c>
      <c r="E42" s="62" t="s">
        <v>99</v>
      </c>
      <c r="I42" s="58">
        <f>Hist!G45</f>
        <v>95.1</v>
      </c>
      <c r="J42" s="58">
        <f>Hist!H45</f>
        <v>113.2</v>
      </c>
      <c r="K42" s="58">
        <f>Hist!I45</f>
        <v>126.2</v>
      </c>
      <c r="L42">
        <f>L17</f>
        <v>118.34977272727272</v>
      </c>
      <c r="M42">
        <f t="shared" ref="M42:P42" si="24">M17</f>
        <v>127.04926213842977</v>
      </c>
      <c r="N42">
        <f t="shared" si="24"/>
        <v>134.98573230624294</v>
      </c>
      <c r="O42">
        <f t="shared" si="24"/>
        <v>143.03133798540435</v>
      </c>
      <c r="P42">
        <f t="shared" si="24"/>
        <v>151.08431258073216</v>
      </c>
      <c r="Q42" s="62" t="str">
        <f t="shared" ca="1" si="3"/>
        <v>=L17</v>
      </c>
    </row>
    <row r="43" spans="3:17" x14ac:dyDescent="0.25">
      <c r="D43" t="str">
        <f>Hist!C46</f>
        <v>Deferred Income Taxes</v>
      </c>
      <c r="E43" s="62" t="s">
        <v>99</v>
      </c>
      <c r="I43" s="58">
        <f>Hist!G46</f>
        <v>16.899999999999999</v>
      </c>
      <c r="J43" s="58">
        <f>Hist!H46</f>
        <v>31.7</v>
      </c>
      <c r="K43" s="58">
        <f>Hist!I46</f>
        <v>24</v>
      </c>
      <c r="L43">
        <f>L23</f>
        <v>-8.3999999999999986</v>
      </c>
      <c r="M43">
        <f t="shared" ref="M43:P43" si="25">M23</f>
        <v>-8.3999999999999986</v>
      </c>
      <c r="N43">
        <f t="shared" si="25"/>
        <v>-8.3999999999999986</v>
      </c>
      <c r="O43">
        <f t="shared" si="25"/>
        <v>-8.3999999999999986</v>
      </c>
      <c r="P43">
        <f t="shared" si="25"/>
        <v>-8.3999999999999986</v>
      </c>
      <c r="Q43" s="62" t="str">
        <f t="shared" ca="1" si="3"/>
        <v>=L23</v>
      </c>
    </row>
    <row r="44" spans="3:17" x14ac:dyDescent="0.25">
      <c r="D44" t="str">
        <f>Hist!C47</f>
        <v>Changes in Working Capital</v>
      </c>
      <c r="E44" s="62" t="s">
        <v>99</v>
      </c>
      <c r="I44" s="58">
        <f>Hist!G47</f>
        <v>-119</v>
      </c>
      <c r="J44" s="58">
        <f>Hist!H47</f>
        <v>-4.5</v>
      </c>
      <c r="K44" s="58">
        <f>Hist!I47</f>
        <v>-83.800000000000011</v>
      </c>
      <c r="L44">
        <f>L234</f>
        <v>-7.3676731139591993</v>
      </c>
      <c r="M44">
        <f t="shared" ref="M44:P44" si="26">M234</f>
        <v>-4.8558723155201733</v>
      </c>
      <c r="N44">
        <f t="shared" si="26"/>
        <v>-8.3556147083736505</v>
      </c>
      <c r="O44">
        <f t="shared" si="26"/>
        <v>-4.8220073696932104</v>
      </c>
      <c r="P44">
        <f t="shared" si="26"/>
        <v>-9.4806003400160535</v>
      </c>
      <c r="Q44" s="62" t="str">
        <f t="shared" ca="1" si="3"/>
        <v>=L234</v>
      </c>
    </row>
    <row r="45" spans="3:17" x14ac:dyDescent="0.25">
      <c r="D45" t="str">
        <f>Hist!C48</f>
        <v>Other</v>
      </c>
      <c r="E45" s="62" t="s">
        <v>99</v>
      </c>
      <c r="I45" s="58">
        <f>Hist!G48</f>
        <v>161.9</v>
      </c>
      <c r="J45" s="58">
        <f>Hist!H48</f>
        <v>164.2</v>
      </c>
      <c r="K45" s="58">
        <f>Hist!I48</f>
        <v>242.10000000000002</v>
      </c>
      <c r="L45">
        <f>Inp!L131</f>
        <v>0</v>
      </c>
      <c r="M45">
        <f>Inp!M131</f>
        <v>0</v>
      </c>
      <c r="N45">
        <f>Inp!N131</f>
        <v>0</v>
      </c>
      <c r="O45">
        <f>Inp!O131</f>
        <v>0</v>
      </c>
      <c r="P45">
        <f>Inp!P131</f>
        <v>0</v>
      </c>
      <c r="Q45" s="62" t="str">
        <f t="shared" ca="1" si="3"/>
        <v>=Inp!L131</v>
      </c>
    </row>
    <row r="46" spans="3:17" s="54" customFormat="1" ht="12.7" x14ac:dyDescent="0.25">
      <c r="D46" s="54" t="str">
        <f>Hist!C49</f>
        <v>Operating Cash Flow</v>
      </c>
      <c r="E46" s="62" t="s">
        <v>99</v>
      </c>
      <c r="I46" s="80">
        <f>SUM(I41:I45)</f>
        <v>263.59399999999971</v>
      </c>
      <c r="J46" s="80">
        <f t="shared" ref="J46:K46" si="27">SUM(J41:J45)</f>
        <v>414.78999999999957</v>
      </c>
      <c r="K46" s="80">
        <f t="shared" si="27"/>
        <v>453.65599999999966</v>
      </c>
      <c r="L46" s="80">
        <f>SUM(L41:L45)</f>
        <v>279.67638470512418</v>
      </c>
      <c r="M46" s="80">
        <f t="shared" ref="M46:P46" si="28">SUM(M41:M45)</f>
        <v>317.31832292556322</v>
      </c>
      <c r="N46" s="80">
        <f t="shared" si="28"/>
        <v>353.92080251348432</v>
      </c>
      <c r="O46" s="80">
        <f t="shared" si="28"/>
        <v>377.52725287656364</v>
      </c>
      <c r="P46" s="80">
        <f t="shared" si="28"/>
        <v>417.65275275318407</v>
      </c>
      <c r="Q46" s="62" t="str">
        <f t="shared" ca="1" si="3"/>
        <v>=SUM(L41:L45)</v>
      </c>
    </row>
    <row r="48" spans="3:17" x14ac:dyDescent="0.25">
      <c r="C48" s="61" t="str">
        <f>Hist!B51</f>
        <v>Investing Activities</v>
      </c>
      <c r="E48" s="62" t="s">
        <v>99</v>
      </c>
    </row>
    <row r="49" spans="3:17" x14ac:dyDescent="0.25">
      <c r="D49" t="str">
        <f>Hist!C52</f>
        <v>CAPEX</v>
      </c>
      <c r="E49" s="62" t="s">
        <v>99</v>
      </c>
      <c r="I49" s="58">
        <f>Hist!G52</f>
        <v>-134.4</v>
      </c>
      <c r="J49" s="58">
        <f>Hist!H52</f>
        <v>-158.69999999999999</v>
      </c>
      <c r="K49" s="58">
        <f>Hist!I52</f>
        <v>-194.1</v>
      </c>
      <c r="L49">
        <f>-SUM(L172,L195)</f>
        <v>-297</v>
      </c>
      <c r="M49">
        <f t="shared" ref="M49:P49" si="29">-SUM(M172,M195)</f>
        <v>-332</v>
      </c>
      <c r="N49">
        <f t="shared" si="29"/>
        <v>-317</v>
      </c>
      <c r="O49">
        <f t="shared" si="29"/>
        <v>-317</v>
      </c>
      <c r="P49">
        <f t="shared" si="29"/>
        <v>-317</v>
      </c>
      <c r="Q49" s="62" t="str">
        <f t="shared" ca="1" si="3"/>
        <v>=-SUM(L172,L195)</v>
      </c>
    </row>
    <row r="50" spans="3:17" x14ac:dyDescent="0.25">
      <c r="D50" t="str">
        <f>Hist!C53</f>
        <v>Asset Disposal</v>
      </c>
      <c r="E50" s="62" t="s">
        <v>99</v>
      </c>
      <c r="I50" s="58">
        <f>Hist!G53</f>
        <v>2</v>
      </c>
      <c r="J50" s="58">
        <f>Hist!H53</f>
        <v>3.4</v>
      </c>
      <c r="K50" s="58">
        <f>Hist!I53</f>
        <v>10.5</v>
      </c>
      <c r="L50">
        <f>Inp!L130</f>
        <v>0</v>
      </c>
      <c r="M50">
        <f>Inp!M130</f>
        <v>0</v>
      </c>
      <c r="N50">
        <f>Inp!N130</f>
        <v>0</v>
      </c>
      <c r="O50">
        <f>Inp!O130</f>
        <v>0</v>
      </c>
      <c r="P50">
        <f>Inp!P130</f>
        <v>0</v>
      </c>
      <c r="Q50" s="62" t="str">
        <f t="shared" ca="1" si="3"/>
        <v>=Inp!L130</v>
      </c>
    </row>
    <row r="51" spans="3:17" x14ac:dyDescent="0.25">
      <c r="D51" t="str">
        <f>Hist!C54</f>
        <v>Other</v>
      </c>
      <c r="E51" s="62" t="s">
        <v>99</v>
      </c>
      <c r="I51" s="58">
        <f>Hist!G54</f>
        <v>-14.899999999999999</v>
      </c>
      <c r="J51" s="58">
        <f>Hist!H54</f>
        <v>-11.3</v>
      </c>
      <c r="K51" s="58">
        <f>Hist!I54</f>
        <v>-15.4</v>
      </c>
      <c r="L51">
        <f>K82-L82</f>
        <v>0</v>
      </c>
      <c r="M51">
        <f t="shared" ref="M51:P51" si="30">L82-M82</f>
        <v>0</v>
      </c>
      <c r="N51">
        <f t="shared" si="30"/>
        <v>0</v>
      </c>
      <c r="O51">
        <f t="shared" si="30"/>
        <v>0</v>
      </c>
      <c r="P51">
        <f t="shared" si="30"/>
        <v>0</v>
      </c>
      <c r="Q51" s="62" t="str">
        <f t="shared" ca="1" si="3"/>
        <v>=K82-L82</v>
      </c>
    </row>
    <row r="52" spans="3:17" s="54" customFormat="1" ht="12.7" x14ac:dyDescent="0.25">
      <c r="D52" s="54" t="str">
        <f>Hist!C55</f>
        <v>Investing Cash Flow</v>
      </c>
      <c r="E52" s="62" t="s">
        <v>99</v>
      </c>
      <c r="I52" s="80">
        <f>SUM(I49:I51)</f>
        <v>-147.30000000000001</v>
      </c>
      <c r="J52" s="80">
        <f t="shared" ref="J52:P52" si="31">SUM(J49:J51)</f>
        <v>-166.6</v>
      </c>
      <c r="K52" s="80">
        <f t="shared" si="31"/>
        <v>-199</v>
      </c>
      <c r="L52" s="80">
        <f>SUM(L49:L51)</f>
        <v>-297</v>
      </c>
      <c r="M52" s="80">
        <f t="shared" si="31"/>
        <v>-332</v>
      </c>
      <c r="N52" s="80">
        <f t="shared" si="31"/>
        <v>-317</v>
      </c>
      <c r="O52" s="80">
        <f t="shared" si="31"/>
        <v>-317</v>
      </c>
      <c r="P52" s="80">
        <f t="shared" si="31"/>
        <v>-317</v>
      </c>
      <c r="Q52" s="62" t="str">
        <f t="shared" ca="1" si="3"/>
        <v>=SUM(L49:L51)</v>
      </c>
    </row>
    <row r="54" spans="3:17" x14ac:dyDescent="0.25">
      <c r="C54" s="61" t="str">
        <f>Hist!B57</f>
        <v>Financing Activities</v>
      </c>
      <c r="E54" s="62" t="s">
        <v>99</v>
      </c>
    </row>
    <row r="55" spans="3:17" x14ac:dyDescent="0.25">
      <c r="D55" t="str">
        <f>Hist!C58</f>
        <v>Revolver Issuance / (Repayment)</v>
      </c>
      <c r="E55" s="62" t="s">
        <v>99</v>
      </c>
      <c r="I55" s="58">
        <f>Hist!G58</f>
        <v>10.3</v>
      </c>
      <c r="J55" s="58">
        <f>Hist!H58</f>
        <v>589.5</v>
      </c>
      <c r="K55" s="58">
        <f>Hist!I58</f>
        <v>-200</v>
      </c>
      <c r="L55">
        <f>L316</f>
        <v>-400</v>
      </c>
      <c r="M55">
        <f>M316</f>
        <v>222.02702219154202</v>
      </c>
      <c r="N55">
        <f>N316</f>
        <v>248.37495665951249</v>
      </c>
      <c r="O55">
        <f>O316</f>
        <v>231.52422224690918</v>
      </c>
      <c r="P55">
        <f>P316</f>
        <v>202.65968021080556</v>
      </c>
      <c r="Q55" s="62" t="str">
        <f t="shared" ca="1" si="3"/>
        <v>=L316</v>
      </c>
    </row>
    <row r="56" spans="3:17" x14ac:dyDescent="0.25">
      <c r="D56" t="str">
        <f>Hist!C59</f>
        <v>Variable Rate Long Term Debt Issuance / (Repayment)</v>
      </c>
      <c r="E56" s="62" t="s">
        <v>99</v>
      </c>
      <c r="I56" s="58">
        <f>Hist!G59</f>
        <v>0</v>
      </c>
      <c r="J56" s="58">
        <f>Hist!H59</f>
        <v>0</v>
      </c>
      <c r="K56" s="58">
        <f>Hist!I59</f>
        <v>0</v>
      </c>
      <c r="L56">
        <f>-L258</f>
        <v>-35</v>
      </c>
      <c r="M56">
        <f t="shared" ref="M56:P56" si="32">-M258</f>
        <v>-35</v>
      </c>
      <c r="N56">
        <f t="shared" si="32"/>
        <v>-35</v>
      </c>
      <c r="O56">
        <f t="shared" si="32"/>
        <v>-35</v>
      </c>
      <c r="P56">
        <f t="shared" si="32"/>
        <v>-35</v>
      </c>
      <c r="Q56" s="62" t="str">
        <f t="shared" ca="1" si="3"/>
        <v>=-L258</v>
      </c>
    </row>
    <row r="57" spans="3:17" x14ac:dyDescent="0.25">
      <c r="D57" t="str">
        <f>Hist!C60</f>
        <v>Fixed Rate Long Term Debt Issuance / (Repayment)</v>
      </c>
      <c r="E57" s="62" t="s">
        <v>99</v>
      </c>
      <c r="I57" s="58">
        <f>Hist!G60</f>
        <v>-259.3</v>
      </c>
      <c r="J57" s="58">
        <f>Hist!H60</f>
        <v>4.7</v>
      </c>
      <c r="K57" s="58">
        <f>Hist!I60</f>
        <v>-10</v>
      </c>
      <c r="L57">
        <f>-L246</f>
        <v>-180</v>
      </c>
      <c r="M57">
        <f t="shared" ref="M57:P57" si="33">-M246</f>
        <v>-180</v>
      </c>
      <c r="N57">
        <f t="shared" si="33"/>
        <v>-180</v>
      </c>
      <c r="O57">
        <f t="shared" si="33"/>
        <v>-180</v>
      </c>
      <c r="P57">
        <f t="shared" si="33"/>
        <v>-176.59999999999991</v>
      </c>
      <c r="Q57" s="62" t="str">
        <f t="shared" ca="1" si="3"/>
        <v>=-L246</v>
      </c>
    </row>
    <row r="58" spans="3:17" x14ac:dyDescent="0.25">
      <c r="D58" t="str">
        <f>Hist!C61</f>
        <v>Preferred Share Issuance/ (Buy-Back)</v>
      </c>
      <c r="E58" s="62" t="s">
        <v>99</v>
      </c>
      <c r="I58" s="58">
        <f>Hist!G61</f>
        <v>0</v>
      </c>
      <c r="J58" s="58">
        <f>Hist!H61</f>
        <v>0</v>
      </c>
      <c r="K58" s="58">
        <f>Hist!I61</f>
        <v>0</v>
      </c>
      <c r="L58">
        <f>L335</f>
        <v>48</v>
      </c>
      <c r="M58">
        <f t="shared" ref="M58:P58" si="34">M335</f>
        <v>45</v>
      </c>
      <c r="N58">
        <f t="shared" si="34"/>
        <v>45</v>
      </c>
      <c r="O58">
        <f t="shared" si="34"/>
        <v>45</v>
      </c>
      <c r="P58">
        <f t="shared" si="34"/>
        <v>45</v>
      </c>
      <c r="Q58" s="62" t="str">
        <f t="shared" ca="1" si="3"/>
        <v>=L335</v>
      </c>
    </row>
    <row r="59" spans="3:17" x14ac:dyDescent="0.25">
      <c r="D59" t="str">
        <f>Hist!C62</f>
        <v>Common Share Issuance/ (Buy-Back)</v>
      </c>
      <c r="E59" s="62" t="s">
        <v>99</v>
      </c>
      <c r="I59" s="58">
        <f>Hist!G62</f>
        <v>300.2</v>
      </c>
      <c r="J59" s="58">
        <f>Hist!H62</f>
        <v>0.5</v>
      </c>
      <c r="K59" s="58">
        <f>Hist!I62</f>
        <v>-94</v>
      </c>
      <c r="L59">
        <f>L345</f>
        <v>-90</v>
      </c>
      <c r="M59">
        <f t="shared" ref="M59:P59" si="35">M345</f>
        <v>-50</v>
      </c>
      <c r="N59">
        <f t="shared" si="35"/>
        <v>-32</v>
      </c>
      <c r="O59">
        <f t="shared" si="35"/>
        <v>-32</v>
      </c>
      <c r="P59">
        <f t="shared" si="35"/>
        <v>-32</v>
      </c>
      <c r="Q59" s="62" t="str">
        <f t="shared" ca="1" si="3"/>
        <v>=L345</v>
      </c>
    </row>
    <row r="60" spans="3:17" x14ac:dyDescent="0.25">
      <c r="D60" t="str">
        <f>Hist!C63</f>
        <v>Preferred Share Dividends</v>
      </c>
      <c r="E60" s="62" t="s">
        <v>99</v>
      </c>
      <c r="I60" s="58">
        <f>Hist!G63</f>
        <v>-0.54400000000000004</v>
      </c>
      <c r="J60" s="58">
        <f>Hist!H63</f>
        <v>-0.54400000000000004</v>
      </c>
      <c r="K60" s="58">
        <f>Hist!I63</f>
        <v>-0.54400000000000004</v>
      </c>
      <c r="L60">
        <f>-L338</f>
        <v>-2.8879999999999999</v>
      </c>
      <c r="M60">
        <f t="shared" ref="M60:P60" si="36">-M338</f>
        <v>-7.3055000000000003</v>
      </c>
      <c r="N60">
        <f t="shared" si="36"/>
        <v>-11.580500000000001</v>
      </c>
      <c r="O60">
        <f t="shared" si="36"/>
        <v>-15.855500000000001</v>
      </c>
      <c r="P60">
        <f t="shared" si="36"/>
        <v>-20.130500000000001</v>
      </c>
      <c r="Q60" s="62" t="str">
        <f t="shared" ca="1" si="3"/>
        <v>=-L338</v>
      </c>
    </row>
    <row r="61" spans="3:17" x14ac:dyDescent="0.25">
      <c r="D61" t="str">
        <f>Hist!C64</f>
        <v>Common Share Dividends</v>
      </c>
      <c r="E61" s="62" t="s">
        <v>99</v>
      </c>
      <c r="I61" s="58">
        <f>Hist!G64</f>
        <v>-483</v>
      </c>
      <c r="J61" s="58">
        <f>Hist!H64</f>
        <v>0</v>
      </c>
      <c r="K61" s="58">
        <f>Hist!I64</f>
        <v>0</v>
      </c>
      <c r="L61">
        <f>-L351</f>
        <v>-55.746011229379405</v>
      </c>
      <c r="M61">
        <f t="shared" ref="M61:P61" si="37">-M351</f>
        <v>-62.790218592849151</v>
      </c>
      <c r="N61">
        <f t="shared" si="37"/>
        <v>-71.715259172996809</v>
      </c>
      <c r="O61">
        <f t="shared" si="37"/>
        <v>-74.195975123472792</v>
      </c>
      <c r="P61">
        <f t="shared" si="37"/>
        <v>-84.581932963989743</v>
      </c>
      <c r="Q61" s="62" t="str">
        <f t="shared" ca="1" si="3"/>
        <v>=-L351</v>
      </c>
    </row>
    <row r="62" spans="3:17" x14ac:dyDescent="0.25">
      <c r="D62" t="str">
        <f>Hist!C65</f>
        <v>Other</v>
      </c>
      <c r="E62" s="62" t="s">
        <v>99</v>
      </c>
      <c r="I62" s="58">
        <f>Hist!G65</f>
        <v>-102.70000000000002</v>
      </c>
      <c r="J62" s="58">
        <f>Hist!H65</f>
        <v>-46.3</v>
      </c>
      <c r="K62" s="58">
        <f>Hist!I65</f>
        <v>-54.1</v>
      </c>
      <c r="L62">
        <f>(L95-K95)+(L103-K103)</f>
        <v>0</v>
      </c>
      <c r="M62">
        <f t="shared" ref="M62:P62" si="38">(M95-L95)+(M103-L103)</f>
        <v>0</v>
      </c>
      <c r="N62">
        <f t="shared" si="38"/>
        <v>0</v>
      </c>
      <c r="O62">
        <f t="shared" si="38"/>
        <v>0</v>
      </c>
      <c r="P62">
        <f t="shared" si="38"/>
        <v>0</v>
      </c>
      <c r="Q62" s="62" t="str">
        <f t="shared" ca="1" si="3"/>
        <v>=(L95-K95)+(L103-K103)</v>
      </c>
    </row>
    <row r="63" spans="3:17" s="54" customFormat="1" ht="12.7" x14ac:dyDescent="0.25">
      <c r="D63" s="54" t="str">
        <f>Hist!C66</f>
        <v>Financing Cash Flow</v>
      </c>
      <c r="E63" s="62" t="s">
        <v>99</v>
      </c>
      <c r="I63" s="80">
        <f>SUM(I55:I62)</f>
        <v>-535.04399999999998</v>
      </c>
      <c r="J63" s="80">
        <f t="shared" ref="J63:P63" si="39">SUM(J55:J62)</f>
        <v>547.85600000000011</v>
      </c>
      <c r="K63" s="80">
        <f t="shared" si="39"/>
        <v>-358.64400000000001</v>
      </c>
      <c r="L63" s="80">
        <f t="shared" si="39"/>
        <v>-715.63401122937944</v>
      </c>
      <c r="M63" s="80">
        <f t="shared" si="39"/>
        <v>-68.068696401307136</v>
      </c>
      <c r="N63" s="80">
        <f t="shared" si="39"/>
        <v>-36.920802513484318</v>
      </c>
      <c r="O63" s="80">
        <f t="shared" si="39"/>
        <v>-60.527252876563615</v>
      </c>
      <c r="P63" s="80">
        <f t="shared" si="39"/>
        <v>-100.65275275318409</v>
      </c>
      <c r="Q63" s="62" t="str">
        <f t="shared" ca="1" si="3"/>
        <v>=SUM(L55:L62)</v>
      </c>
    </row>
    <row r="65" spans="3:17" x14ac:dyDescent="0.25">
      <c r="D65" t="str">
        <f>Hist!C68</f>
        <v>Change in Cash Position</v>
      </c>
      <c r="E65" s="62" t="s">
        <v>99</v>
      </c>
      <c r="I65" s="58">
        <f>Hist!G68</f>
        <v>-418.75000000000028</v>
      </c>
      <c r="J65" s="58">
        <f>Hist!H68</f>
        <v>796.04599999999971</v>
      </c>
      <c r="K65" s="58">
        <f>Hist!I68</f>
        <v>-103.98800000000034</v>
      </c>
      <c r="L65">
        <f>SUM(L46,L52,L63)</f>
        <v>-732.95762652425526</v>
      </c>
      <c r="M65">
        <f>SUM(M46,M52,M63)</f>
        <v>-82.750373475743913</v>
      </c>
      <c r="N65">
        <f t="shared" ref="N65:P65" si="40">SUM(N46,N52,N63)</f>
        <v>0</v>
      </c>
      <c r="O65">
        <f t="shared" si="40"/>
        <v>0</v>
      </c>
      <c r="P65">
        <f t="shared" si="40"/>
        <v>0</v>
      </c>
      <c r="Q65" s="62" t="str">
        <f t="shared" ca="1" si="3"/>
        <v>=SUM(L46,L52,L63)</v>
      </c>
    </row>
    <row r="66" spans="3:17" x14ac:dyDescent="0.25">
      <c r="D66" t="str">
        <f>Hist!C69</f>
        <v>Beginning Cash</v>
      </c>
      <c r="E66" s="62" t="s">
        <v>99</v>
      </c>
      <c r="I66" s="58">
        <f>Hist!G69</f>
        <v>542.4</v>
      </c>
      <c r="J66" s="58">
        <f>Hist!H69</f>
        <v>123.64999999999969</v>
      </c>
      <c r="K66" s="58">
        <f>Hist!I69</f>
        <v>919.69599999999946</v>
      </c>
      <c r="L66">
        <f>K67</f>
        <v>815.70799999999917</v>
      </c>
      <c r="M66">
        <f t="shared" ref="M66:P66" si="41">L67</f>
        <v>82.750373475743913</v>
      </c>
      <c r="N66">
        <f t="shared" si="41"/>
        <v>0</v>
      </c>
      <c r="O66">
        <f t="shared" si="41"/>
        <v>0</v>
      </c>
      <c r="P66">
        <f t="shared" si="41"/>
        <v>0</v>
      </c>
      <c r="Q66" s="62" t="str">
        <f t="shared" ca="1" si="3"/>
        <v>=K67</v>
      </c>
    </row>
    <row r="67" spans="3:17" s="54" customFormat="1" ht="13.25" thickBot="1" x14ac:dyDescent="0.3">
      <c r="D67" s="54" t="str">
        <f>Hist!C70</f>
        <v>Ending Cash</v>
      </c>
      <c r="E67" s="62" t="s">
        <v>99</v>
      </c>
      <c r="I67" s="79">
        <f>SUM(I65:I66)</f>
        <v>123.64999999999969</v>
      </c>
      <c r="J67" s="79">
        <f t="shared" ref="J67:K67" si="42">SUM(J65:J66)</f>
        <v>919.69599999999946</v>
      </c>
      <c r="K67" s="79">
        <f t="shared" si="42"/>
        <v>815.70799999999917</v>
      </c>
      <c r="L67" s="79">
        <f>SUM(L65:L66)</f>
        <v>82.750373475743913</v>
      </c>
      <c r="M67" s="79">
        <f t="shared" ref="M67:P67" si="43">SUM(M65:M66)</f>
        <v>0</v>
      </c>
      <c r="N67" s="79">
        <f t="shared" si="43"/>
        <v>0</v>
      </c>
      <c r="O67" s="79">
        <f t="shared" si="43"/>
        <v>0</v>
      </c>
      <c r="P67" s="79">
        <f t="shared" si="43"/>
        <v>0</v>
      </c>
      <c r="Q67" s="62" t="str">
        <f t="shared" ca="1" si="3"/>
        <v>=SUM(L65:L66)</v>
      </c>
    </row>
    <row r="68" spans="3:17" ht="14.4" thickTop="1" x14ac:dyDescent="0.25"/>
    <row r="70" spans="3:17" x14ac:dyDescent="0.25">
      <c r="C70" s="60" t="s">
        <v>26</v>
      </c>
      <c r="D70" s="60"/>
      <c r="E70" s="83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</row>
    <row r="71" spans="3:17" s="54" customFormat="1" ht="12.7" x14ac:dyDescent="0.25">
      <c r="C71" s="61" t="str">
        <f>Hist!B78</f>
        <v>ASSETS</v>
      </c>
      <c r="E71" s="62"/>
      <c r="Q71" s="62"/>
    </row>
    <row r="72" spans="3:17" x14ac:dyDescent="0.25">
      <c r="D72" t="str">
        <f>Hist!C79</f>
        <v>Cash and Equivalents</v>
      </c>
      <c r="E72" s="62" t="s">
        <v>99</v>
      </c>
      <c r="I72" s="58">
        <f>Hist!G79</f>
        <v>123.64999999999969</v>
      </c>
      <c r="J72" s="58">
        <f>Hist!H79</f>
        <v>919.69599999999946</v>
      </c>
      <c r="K72" s="58">
        <f>Hist!I79</f>
        <v>815.70799999999917</v>
      </c>
      <c r="L72">
        <f>MAX(L67,0)</f>
        <v>82.750373475743913</v>
      </c>
      <c r="M72">
        <f t="shared" ref="M72:P72" si="44">MAX(M67,0)</f>
        <v>0</v>
      </c>
      <c r="N72">
        <f t="shared" si="44"/>
        <v>0</v>
      </c>
      <c r="O72">
        <f t="shared" si="44"/>
        <v>0</v>
      </c>
      <c r="P72">
        <f t="shared" si="44"/>
        <v>0</v>
      </c>
      <c r="Q72" s="62" t="str">
        <f t="shared" ca="1" si="3"/>
        <v>=MAX(L67,0)</v>
      </c>
    </row>
    <row r="73" spans="3:17" x14ac:dyDescent="0.25">
      <c r="D73" t="str">
        <f>Hist!C80</f>
        <v>Accounts Receivable</v>
      </c>
      <c r="E73" s="62" t="s">
        <v>99</v>
      </c>
      <c r="I73" s="58">
        <f>Hist!G80</f>
        <v>266.60000000000002</v>
      </c>
      <c r="J73" s="58">
        <f>Hist!H80</f>
        <v>306.8</v>
      </c>
      <c r="K73" s="58">
        <f>Hist!I80</f>
        <v>308.39999999999998</v>
      </c>
      <c r="L73">
        <f>L226</f>
        <v>321.56703232876708</v>
      </c>
      <c r="M73">
        <f t="shared" ref="M73:P73" si="45">M226</f>
        <v>330.70038862465753</v>
      </c>
      <c r="N73">
        <f t="shared" si="45"/>
        <v>345.21634466301367</v>
      </c>
      <c r="O73">
        <f t="shared" si="45"/>
        <v>354.06837832851801</v>
      </c>
      <c r="P73">
        <f t="shared" si="45"/>
        <v>370.57509855207394</v>
      </c>
      <c r="Q73" s="62" t="str">
        <f t="shared" ca="1" si="3"/>
        <v>=L226</v>
      </c>
    </row>
    <row r="74" spans="3:17" x14ac:dyDescent="0.25">
      <c r="D74" t="str">
        <f>Hist!C81</f>
        <v>Inventory</v>
      </c>
      <c r="E74" s="62" t="s">
        <v>99</v>
      </c>
      <c r="I74" s="58">
        <f>Hist!G81</f>
        <v>532.70000000000005</v>
      </c>
      <c r="J74" s="58">
        <f>Hist!H81</f>
        <v>630.20000000000005</v>
      </c>
      <c r="K74" s="58">
        <f>Hist!I81</f>
        <v>685.9</v>
      </c>
      <c r="L74">
        <f t="shared" ref="L74:L75" si="46">L227</f>
        <v>710.11361533042896</v>
      </c>
      <c r="M74">
        <f t="shared" ref="M74:P74" si="47">M227</f>
        <v>727.86645571368945</v>
      </c>
      <c r="N74">
        <f t="shared" si="47"/>
        <v>753.43371834739321</v>
      </c>
      <c r="O74">
        <f t="shared" si="47"/>
        <v>770.15953518229105</v>
      </c>
      <c r="P74">
        <f t="shared" si="47"/>
        <v>799.32003826741004</v>
      </c>
      <c r="Q74" s="62" t="str">
        <f t="shared" ca="1" si="3"/>
        <v>=L227</v>
      </c>
    </row>
    <row r="75" spans="3:17" x14ac:dyDescent="0.25">
      <c r="D75" t="str">
        <f>Hist!C82</f>
        <v>Other</v>
      </c>
      <c r="E75" s="62" t="s">
        <v>99</v>
      </c>
      <c r="I75" s="58">
        <f>Hist!G82</f>
        <v>51.4</v>
      </c>
      <c r="J75" s="58">
        <f>Hist!H82</f>
        <v>61</v>
      </c>
      <c r="K75" s="58">
        <f>Hist!I82</f>
        <v>65.3</v>
      </c>
      <c r="L75">
        <f t="shared" si="46"/>
        <v>67.603573465694041</v>
      </c>
      <c r="M75">
        <f t="shared" ref="M75:P75" si="48">M228</f>
        <v>69.293662802336357</v>
      </c>
      <c r="N75">
        <f t="shared" si="48"/>
        <v>71.727693470752726</v>
      </c>
      <c r="O75">
        <f t="shared" si="48"/>
        <v>73.320009070342522</v>
      </c>
      <c r="P75">
        <f t="shared" si="48"/>
        <v>76.096120061671911</v>
      </c>
      <c r="Q75" s="62" t="str">
        <f t="shared" ca="1" si="3"/>
        <v>=L228</v>
      </c>
    </row>
    <row r="76" spans="3:17" s="54" customFormat="1" ht="12.7" x14ac:dyDescent="0.25">
      <c r="D76" s="54" t="str">
        <f>Hist!C83</f>
        <v>Total Current Assets</v>
      </c>
      <c r="E76" s="62" t="s">
        <v>99</v>
      </c>
      <c r="I76" s="80">
        <f>SUM(I72:I75)</f>
        <v>974.3499999999998</v>
      </c>
      <c r="J76" s="80">
        <f t="shared" ref="J76:K76" si="49">SUM(J72:J75)</f>
        <v>1917.6959999999995</v>
      </c>
      <c r="K76" s="80">
        <f t="shared" si="49"/>
        <v>1875.3079999999993</v>
      </c>
      <c r="L76" s="80">
        <f>SUM(L72:L75)</f>
        <v>1182.0345946006341</v>
      </c>
      <c r="M76" s="80">
        <f t="shared" ref="M76:P76" si="50">SUM(M72:M75)</f>
        <v>1127.8605071406832</v>
      </c>
      <c r="N76" s="80">
        <f t="shared" si="50"/>
        <v>1170.3777564811596</v>
      </c>
      <c r="O76" s="80">
        <f t="shared" si="50"/>
        <v>1197.5479225811516</v>
      </c>
      <c r="P76" s="80">
        <f t="shared" si="50"/>
        <v>1245.9912568811558</v>
      </c>
      <c r="Q76" s="62" t="str">
        <f t="shared" ca="1" si="3"/>
        <v>=SUM(L72:L75)</v>
      </c>
    </row>
    <row r="78" spans="3:17" x14ac:dyDescent="0.25">
      <c r="D78" t="str">
        <f>Hist!C85</f>
        <v>Net PP&amp;E</v>
      </c>
      <c r="E78" s="62" t="s">
        <v>99</v>
      </c>
      <c r="I78" s="58">
        <f>Hist!G85</f>
        <v>515.29999999999995</v>
      </c>
      <c r="J78" s="58">
        <f>Hist!H85</f>
        <v>586.9</v>
      </c>
      <c r="K78" s="58">
        <f>Hist!I85</f>
        <v>636.6</v>
      </c>
      <c r="L78">
        <f>L174</f>
        <v>802.62750000000005</v>
      </c>
      <c r="M78">
        <f>M174</f>
        <v>993.47803125000007</v>
      </c>
      <c r="N78">
        <f>N174</f>
        <v>1160.4864292968753</v>
      </c>
      <c r="O78">
        <f>O174</f>
        <v>1318.9904749658206</v>
      </c>
      <c r="P78">
        <f>P174</f>
        <v>1469.3283230304569</v>
      </c>
      <c r="Q78" s="62" t="str">
        <f ca="1">_xlfn.FORMULATEXT(L78)</f>
        <v>=L174</v>
      </c>
    </row>
    <row r="79" spans="3:17" x14ac:dyDescent="0.25">
      <c r="D79" t="str">
        <f>Hist!C86</f>
        <v>Goodwill</v>
      </c>
      <c r="E79" s="62" t="s">
        <v>99</v>
      </c>
      <c r="I79" s="58">
        <f>Hist!G86</f>
        <v>116</v>
      </c>
      <c r="J79" s="58">
        <f>Hist!H86</f>
        <v>115.9</v>
      </c>
      <c r="K79" s="58">
        <f>Hist!I86</f>
        <v>116</v>
      </c>
      <c r="L79">
        <f>Inp!L127</f>
        <v>116</v>
      </c>
      <c r="M79">
        <f>Inp!M127</f>
        <v>116</v>
      </c>
      <c r="N79">
        <f>Inp!N127</f>
        <v>116</v>
      </c>
      <c r="O79">
        <f>Inp!O127</f>
        <v>116</v>
      </c>
      <c r="P79">
        <f>Inp!P127</f>
        <v>116</v>
      </c>
      <c r="Q79" s="62" t="str">
        <f t="shared" ref="Q79:Q142" ca="1" si="51">_xlfn.FORMULATEXT(L79)</f>
        <v>=Inp!L127</v>
      </c>
    </row>
    <row r="80" spans="3:17" x14ac:dyDescent="0.25">
      <c r="D80" t="str">
        <f>Hist!C87</f>
        <v>Intangibles</v>
      </c>
      <c r="E80" s="62" t="s">
        <v>99</v>
      </c>
      <c r="I80" s="58">
        <f>Hist!G87</f>
        <v>219.89999999999998</v>
      </c>
      <c r="J80" s="58">
        <f>Hist!H87</f>
        <v>220.6</v>
      </c>
      <c r="K80" s="58">
        <f>Hist!I87</f>
        <v>207.89999999999998</v>
      </c>
      <c r="L80">
        <f>L197</f>
        <v>220.52272727272725</v>
      </c>
      <c r="M80">
        <f t="shared" ref="M80:P80" si="52">M197</f>
        <v>234.62293388429748</v>
      </c>
      <c r="N80">
        <f t="shared" si="52"/>
        <v>249.62880353117953</v>
      </c>
      <c r="O80">
        <f t="shared" si="52"/>
        <v>265.0934198768299</v>
      </c>
      <c r="P80">
        <f t="shared" si="52"/>
        <v>280.67125923146153</v>
      </c>
      <c r="Q80" s="62" t="str">
        <f t="shared" ca="1" si="51"/>
        <v>=L197</v>
      </c>
    </row>
    <row r="81" spans="3:17" x14ac:dyDescent="0.25">
      <c r="D81" t="str">
        <f>Hist!C88</f>
        <v>Deferred income taxes</v>
      </c>
      <c r="E81" s="62" t="s">
        <v>99</v>
      </c>
      <c r="I81" s="58">
        <f>Hist!G88</f>
        <v>14</v>
      </c>
      <c r="J81" s="58">
        <f>Hist!H88</f>
        <v>17.7</v>
      </c>
      <c r="K81" s="58">
        <f>Hist!I88</f>
        <v>28.8</v>
      </c>
      <c r="L81">
        <f>K81+L208</f>
        <v>37.200000000000003</v>
      </c>
      <c r="M81">
        <f>L81+M208</f>
        <v>45.6</v>
      </c>
      <c r="N81">
        <f>M81+N208</f>
        <v>54</v>
      </c>
      <c r="O81">
        <f>N81+O208</f>
        <v>62.4</v>
      </c>
      <c r="P81">
        <f>O81+P208</f>
        <v>70.8</v>
      </c>
      <c r="Q81" s="62" t="str">
        <f t="shared" ca="1" si="51"/>
        <v>=K81+L208</v>
      </c>
    </row>
    <row r="82" spans="3:17" x14ac:dyDescent="0.25">
      <c r="D82" t="str">
        <f>Hist!C89</f>
        <v>Other</v>
      </c>
      <c r="E82" s="62" t="s">
        <v>99</v>
      </c>
      <c r="I82" s="58">
        <f>Hist!G89</f>
        <v>145.9</v>
      </c>
      <c r="J82" s="58">
        <f>Hist!H89</f>
        <v>159.1</v>
      </c>
      <c r="K82" s="58">
        <f>Hist!I89</f>
        <v>132.5</v>
      </c>
      <c r="L82">
        <f>Inp!L128</f>
        <v>132.5</v>
      </c>
      <c r="M82">
        <f>Inp!M128</f>
        <v>132.5</v>
      </c>
      <c r="N82">
        <f>Inp!N128</f>
        <v>132.5</v>
      </c>
      <c r="O82">
        <f>Inp!O128</f>
        <v>132.5</v>
      </c>
      <c r="P82">
        <f>Inp!P128</f>
        <v>132.5</v>
      </c>
      <c r="Q82" s="62" t="str">
        <f t="shared" ca="1" si="51"/>
        <v>=Inp!L128</v>
      </c>
    </row>
    <row r="83" spans="3:17" s="54" customFormat="1" ht="12.7" x14ac:dyDescent="0.25">
      <c r="D83" s="54" t="str">
        <f>Hist!C90</f>
        <v>Total Long Term Assets</v>
      </c>
      <c r="E83" s="62" t="s">
        <v>99</v>
      </c>
      <c r="I83" s="80">
        <f>SUM(I78:I82)</f>
        <v>1011.0999999999999</v>
      </c>
      <c r="J83" s="80">
        <f t="shared" ref="J83:K83" si="53">SUM(J78:J82)</f>
        <v>1100.2</v>
      </c>
      <c r="K83" s="80">
        <f t="shared" si="53"/>
        <v>1121.8</v>
      </c>
      <c r="L83" s="80">
        <f>SUM(L78:L82)</f>
        <v>1308.8502272727274</v>
      </c>
      <c r="M83" s="80">
        <f t="shared" ref="M83:P83" si="54">SUM(M78:M82)</f>
        <v>1522.2009651342976</v>
      </c>
      <c r="N83" s="80">
        <f t="shared" si="54"/>
        <v>1712.6152328280548</v>
      </c>
      <c r="O83" s="80">
        <f t="shared" si="54"/>
        <v>1894.9838948426504</v>
      </c>
      <c r="P83" s="80">
        <f t="shared" si="54"/>
        <v>2069.2995822619187</v>
      </c>
      <c r="Q83" s="62" t="str">
        <f t="shared" ca="1" si="51"/>
        <v>=SUM(L78:L82)</v>
      </c>
    </row>
    <row r="85" spans="3:17" ht="14.4" thickBot="1" x14ac:dyDescent="0.3">
      <c r="D85" s="54" t="str">
        <f>Hist!C92</f>
        <v>Total Assets</v>
      </c>
      <c r="E85" s="62" t="s">
        <v>99</v>
      </c>
      <c r="I85" s="79">
        <f>I83+I76</f>
        <v>1985.4499999999998</v>
      </c>
      <c r="J85" s="79">
        <f t="shared" ref="J85:P85" si="55">J83+J76</f>
        <v>3017.8959999999997</v>
      </c>
      <c r="K85" s="79">
        <f t="shared" si="55"/>
        <v>2997.1079999999993</v>
      </c>
      <c r="L85" s="79">
        <f t="shared" si="55"/>
        <v>2490.8848218733615</v>
      </c>
      <c r="M85" s="79">
        <f t="shared" si="55"/>
        <v>2650.0614722749806</v>
      </c>
      <c r="N85" s="79">
        <f t="shared" si="55"/>
        <v>2882.9929893092144</v>
      </c>
      <c r="O85" s="79">
        <f t="shared" si="55"/>
        <v>3092.5318174238018</v>
      </c>
      <c r="P85" s="79">
        <f t="shared" si="55"/>
        <v>3315.2908391430747</v>
      </c>
      <c r="Q85" s="62" t="str">
        <f t="shared" ca="1" si="51"/>
        <v>=L83+L76</v>
      </c>
    </row>
    <row r="86" spans="3:17" ht="14.4" thickTop="1" x14ac:dyDescent="0.25"/>
    <row r="87" spans="3:17" x14ac:dyDescent="0.25">
      <c r="C87" s="61" t="str">
        <f>Hist!B95</f>
        <v>LIABILITIES AND EQUITY</v>
      </c>
    </row>
    <row r="88" spans="3:17" x14ac:dyDescent="0.25">
      <c r="D88" t="str">
        <f>Hist!C96</f>
        <v>Bank Debt - Revolver</v>
      </c>
      <c r="E88" s="62" t="s">
        <v>99</v>
      </c>
      <c r="I88" s="58">
        <f>Hist!G96</f>
        <v>10.5</v>
      </c>
      <c r="J88" s="58">
        <f>Hist!H96</f>
        <v>600</v>
      </c>
      <c r="K88" s="58">
        <f>Hist!I96</f>
        <v>400</v>
      </c>
      <c r="L88">
        <f>L317</f>
        <v>0</v>
      </c>
      <c r="M88">
        <f t="shared" ref="M88:P88" si="56">M317</f>
        <v>222.02702219154202</v>
      </c>
      <c r="N88">
        <f t="shared" si="56"/>
        <v>470.40197885105454</v>
      </c>
      <c r="O88">
        <f t="shared" si="56"/>
        <v>701.92620109796371</v>
      </c>
      <c r="P88">
        <f t="shared" si="56"/>
        <v>904.58588130876933</v>
      </c>
      <c r="Q88" s="62" t="str">
        <f t="shared" ca="1" si="51"/>
        <v>=L317</v>
      </c>
    </row>
    <row r="89" spans="3:17" x14ac:dyDescent="0.25">
      <c r="D89" t="str">
        <f>Hist!C97</f>
        <v>Accounts Payable</v>
      </c>
      <c r="E89" s="62" t="s">
        <v>99</v>
      </c>
      <c r="I89" s="58">
        <f>Hist!G97</f>
        <v>547</v>
      </c>
      <c r="J89" s="58">
        <f>Hist!H97</f>
        <v>678.4</v>
      </c>
      <c r="K89" s="58">
        <f>Hist!I97</f>
        <v>650.29999999999995</v>
      </c>
      <c r="L89">
        <f>L230</f>
        <v>673.19591126748298</v>
      </c>
      <c r="M89">
        <f t="shared" ref="M89:P89" si="57">M230</f>
        <v>690.02580904916977</v>
      </c>
      <c r="N89">
        <f t="shared" si="57"/>
        <v>714.26386940420514</v>
      </c>
      <c r="O89">
        <f t="shared" si="57"/>
        <v>730.12013699685315</v>
      </c>
      <c r="P89">
        <f t="shared" si="57"/>
        <v>757.76463081249483</v>
      </c>
      <c r="Q89" s="62" t="str">
        <f t="shared" ca="1" si="51"/>
        <v>=L230</v>
      </c>
    </row>
    <row r="90" spans="3:17" x14ac:dyDescent="0.25">
      <c r="D90" t="str">
        <f>Hist!C98</f>
        <v xml:space="preserve">Other </v>
      </c>
      <c r="E90" s="62" t="s">
        <v>99</v>
      </c>
      <c r="I90" s="58">
        <f>Hist!G98</f>
        <v>206.6</v>
      </c>
      <c r="J90" s="58">
        <f>Hist!H98</f>
        <v>248.50000000000006</v>
      </c>
      <c r="K90" s="58">
        <f>Hist!I98</f>
        <v>266.2</v>
      </c>
      <c r="L90">
        <f>L231</f>
        <v>275.62063674344802</v>
      </c>
      <c r="M90">
        <f t="shared" ref="M90:P90" si="58">M231</f>
        <v>282.51115266203414</v>
      </c>
      <c r="N90">
        <f t="shared" si="58"/>
        <v>292.43472693910155</v>
      </c>
      <c r="O90">
        <f t="shared" si="58"/>
        <v>298.92661807675233</v>
      </c>
      <c r="P90">
        <f t="shared" si="58"/>
        <v>310.24485822109875</v>
      </c>
      <c r="Q90" s="62" t="str">
        <f t="shared" ca="1" si="51"/>
        <v>=L231</v>
      </c>
    </row>
    <row r="91" spans="3:17" s="54" customFormat="1" ht="12.7" x14ac:dyDescent="0.25">
      <c r="D91" s="54" t="str">
        <f>Hist!C99</f>
        <v>Total Current Liabilities</v>
      </c>
      <c r="E91" s="62" t="s">
        <v>99</v>
      </c>
      <c r="I91" s="80">
        <f>SUM(I88:I90)</f>
        <v>764.1</v>
      </c>
      <c r="J91" s="80">
        <f t="shared" ref="J91:K91" si="59">SUM(J88:J90)</f>
        <v>1526.9</v>
      </c>
      <c r="K91" s="80">
        <f t="shared" si="59"/>
        <v>1316.5</v>
      </c>
      <c r="L91" s="80">
        <f>SUM(L88:L90)</f>
        <v>948.816548010931</v>
      </c>
      <c r="M91" s="80">
        <f t="shared" ref="M91" si="60">SUM(M88:M90)</f>
        <v>1194.563983902746</v>
      </c>
      <c r="N91" s="80">
        <f t="shared" ref="N91" si="61">SUM(N88:N90)</f>
        <v>1477.1005751943612</v>
      </c>
      <c r="O91" s="80">
        <f t="shared" ref="O91" si="62">SUM(O88:O90)</f>
        <v>1730.972956171569</v>
      </c>
      <c r="P91" s="80">
        <f t="shared" ref="P91" si="63">SUM(P88:P90)</f>
        <v>1972.5953703423629</v>
      </c>
      <c r="Q91" s="62" t="str">
        <f t="shared" ca="1" si="51"/>
        <v>=SUM(L88:L90)</v>
      </c>
    </row>
    <row r="93" spans="3:17" x14ac:dyDescent="0.25">
      <c r="D93" t="str">
        <f>Hist!C101</f>
        <v>Variable Rate Long Term Debt</v>
      </c>
      <c r="E93" s="62" t="s">
        <v>99</v>
      </c>
      <c r="I93" s="58">
        <f>Hist!G101</f>
        <v>0</v>
      </c>
      <c r="J93" s="58">
        <f>Hist!H101</f>
        <v>0</v>
      </c>
      <c r="K93" s="58">
        <f>Hist!I101</f>
        <v>250</v>
      </c>
      <c r="L93">
        <f t="shared" ref="L93:P93" si="64">L259</f>
        <v>215</v>
      </c>
      <c r="M93">
        <f t="shared" si="64"/>
        <v>180</v>
      </c>
      <c r="N93">
        <f t="shared" si="64"/>
        <v>145</v>
      </c>
      <c r="O93">
        <f t="shared" si="64"/>
        <v>110</v>
      </c>
      <c r="P93">
        <f t="shared" si="64"/>
        <v>75</v>
      </c>
      <c r="Q93" s="62" t="str">
        <f t="shared" ca="1" si="51"/>
        <v>=L259</v>
      </c>
    </row>
    <row r="94" spans="3:17" x14ac:dyDescent="0.25">
      <c r="D94" t="str">
        <f>Hist!C102</f>
        <v>Fixed Rate Long Term Debt</v>
      </c>
      <c r="E94" s="62" t="s">
        <v>99</v>
      </c>
      <c r="I94" s="58">
        <f>Hist!G102</f>
        <v>889.9</v>
      </c>
      <c r="J94" s="58">
        <f>Hist!H102</f>
        <v>1035.5</v>
      </c>
      <c r="K94" s="58">
        <f>Hist!I102</f>
        <v>896.59999999999991</v>
      </c>
      <c r="L94">
        <f t="shared" ref="L94:P94" si="65">L247</f>
        <v>716.59999999999991</v>
      </c>
      <c r="M94">
        <f t="shared" si="65"/>
        <v>536.59999999999991</v>
      </c>
      <c r="N94">
        <f t="shared" si="65"/>
        <v>356.59999999999991</v>
      </c>
      <c r="O94">
        <f t="shared" si="65"/>
        <v>176.59999999999991</v>
      </c>
      <c r="P94">
        <f t="shared" si="65"/>
        <v>0</v>
      </c>
      <c r="Q94" s="62" t="str">
        <f t="shared" ca="1" si="51"/>
        <v>=L247</v>
      </c>
    </row>
    <row r="95" spans="3:17" x14ac:dyDescent="0.25">
      <c r="D95" t="str">
        <f>Hist!C103</f>
        <v xml:space="preserve">Other </v>
      </c>
      <c r="E95" s="62" t="s">
        <v>99</v>
      </c>
      <c r="I95" s="58">
        <f>Hist!G103</f>
        <v>324</v>
      </c>
      <c r="J95" s="58">
        <f>Hist!H103</f>
        <v>394.70000000000005</v>
      </c>
      <c r="K95" s="58">
        <f>Hist!I103</f>
        <v>367.40000000000003</v>
      </c>
      <c r="L95">
        <f>Inp!L129</f>
        <v>367.40000000000003</v>
      </c>
      <c r="M95">
        <f>Inp!M129</f>
        <v>367.40000000000003</v>
      </c>
      <c r="N95">
        <f>Inp!N129</f>
        <v>367.40000000000003</v>
      </c>
      <c r="O95">
        <f>Inp!O129</f>
        <v>367.40000000000003</v>
      </c>
      <c r="P95">
        <f>Inp!P129</f>
        <v>367.40000000000003</v>
      </c>
      <c r="Q95" s="62" t="str">
        <f t="shared" ca="1" si="51"/>
        <v>=Inp!L129</v>
      </c>
    </row>
    <row r="96" spans="3:17" x14ac:dyDescent="0.25">
      <c r="D96" s="54" t="str">
        <f>Hist!C104</f>
        <v>Total Long Term Liabilities</v>
      </c>
      <c r="E96" s="62" t="s">
        <v>99</v>
      </c>
      <c r="I96" s="80">
        <f>SUM(I93:I95)</f>
        <v>1213.9000000000001</v>
      </c>
      <c r="J96" s="80">
        <f t="shared" ref="J96:P96" si="66">SUM(J93:J95)</f>
        <v>1430.2</v>
      </c>
      <c r="K96" s="80">
        <f t="shared" si="66"/>
        <v>1514</v>
      </c>
      <c r="L96" s="80">
        <f>SUM(L93:L95)</f>
        <v>1299</v>
      </c>
      <c r="M96" s="80">
        <f t="shared" si="66"/>
        <v>1084</v>
      </c>
      <c r="N96" s="80">
        <f t="shared" si="66"/>
        <v>869</v>
      </c>
      <c r="O96" s="80">
        <f t="shared" si="66"/>
        <v>654</v>
      </c>
      <c r="P96" s="80">
        <f t="shared" si="66"/>
        <v>442.40000000000003</v>
      </c>
      <c r="Q96" s="62" t="str">
        <f t="shared" ca="1" si="51"/>
        <v>=SUM(L93:L95)</v>
      </c>
    </row>
    <row r="98" spans="2:17" s="54" customFormat="1" ht="12.7" x14ac:dyDescent="0.25">
      <c r="D98" s="54" t="str">
        <f>Hist!C106</f>
        <v>Total Liabilities</v>
      </c>
      <c r="E98" s="62" t="s">
        <v>99</v>
      </c>
      <c r="I98" s="54">
        <f>I96+I91</f>
        <v>1978</v>
      </c>
      <c r="J98" s="54">
        <f t="shared" ref="J98:P98" si="67">J96+J91</f>
        <v>2957.1000000000004</v>
      </c>
      <c r="K98" s="54">
        <f t="shared" si="67"/>
        <v>2830.5</v>
      </c>
      <c r="L98" s="54">
        <f t="shared" si="67"/>
        <v>2247.816548010931</v>
      </c>
      <c r="M98" s="54">
        <f t="shared" si="67"/>
        <v>2278.5639839027463</v>
      </c>
      <c r="N98" s="54">
        <f t="shared" si="67"/>
        <v>2346.1005751943612</v>
      </c>
      <c r="O98" s="54">
        <f t="shared" si="67"/>
        <v>2384.972956171569</v>
      </c>
      <c r="P98" s="54">
        <f t="shared" si="67"/>
        <v>2414.995370342363</v>
      </c>
      <c r="Q98" s="62" t="str">
        <f t="shared" ca="1" si="51"/>
        <v>=L96+L91</v>
      </c>
    </row>
    <row r="100" spans="2:17" x14ac:dyDescent="0.25">
      <c r="D100" t="str">
        <f>Hist!C108</f>
        <v>Preferred Shares</v>
      </c>
      <c r="E100" s="62" t="s">
        <v>99</v>
      </c>
      <c r="I100" s="58">
        <f>Hist!G108</f>
        <v>6.4</v>
      </c>
      <c r="J100" s="58">
        <f>Hist!H108</f>
        <v>6.4</v>
      </c>
      <c r="K100" s="58">
        <f>Hist!I108</f>
        <v>6.4</v>
      </c>
      <c r="L100">
        <f>L336</f>
        <v>54.4</v>
      </c>
      <c r="M100">
        <f t="shared" ref="M100:P100" si="68">M336</f>
        <v>99.4</v>
      </c>
      <c r="N100">
        <f t="shared" si="68"/>
        <v>144.4</v>
      </c>
      <c r="O100">
        <f t="shared" si="68"/>
        <v>189.4</v>
      </c>
      <c r="P100">
        <f t="shared" si="68"/>
        <v>234.4</v>
      </c>
      <c r="Q100" s="62" t="str">
        <f t="shared" ca="1" si="51"/>
        <v>=L336</v>
      </c>
    </row>
    <row r="101" spans="2:17" x14ac:dyDescent="0.25">
      <c r="D101" t="str">
        <f>Hist!C109</f>
        <v>Common Shares</v>
      </c>
      <c r="E101" s="62" t="s">
        <v>99</v>
      </c>
      <c r="I101" s="58">
        <f>Hist!G109</f>
        <v>365.3</v>
      </c>
      <c r="J101" s="58">
        <f>Hist!H109</f>
        <v>371.9</v>
      </c>
      <c r="K101" s="58">
        <f>Hist!I109</f>
        <v>346.40000000000003</v>
      </c>
      <c r="L101">
        <f>L346</f>
        <v>256.40000000000003</v>
      </c>
      <c r="M101">
        <f t="shared" ref="M101:P101" si="69">M346</f>
        <v>206.40000000000003</v>
      </c>
      <c r="N101">
        <f t="shared" si="69"/>
        <v>174.40000000000003</v>
      </c>
      <c r="O101">
        <f t="shared" si="69"/>
        <v>142.40000000000003</v>
      </c>
      <c r="P101">
        <f t="shared" si="69"/>
        <v>110.40000000000003</v>
      </c>
      <c r="Q101" s="62" t="str">
        <f t="shared" ca="1" si="51"/>
        <v>=L346</v>
      </c>
    </row>
    <row r="102" spans="2:17" x14ac:dyDescent="0.25">
      <c r="D102" t="str">
        <f>Hist!C110</f>
        <v>Retained Earnings</v>
      </c>
      <c r="E102" s="62" t="s">
        <v>99</v>
      </c>
      <c r="I102" s="58">
        <f>Hist!G110</f>
        <v>-380.4500000000001</v>
      </c>
      <c r="J102" s="58">
        <f>Hist!H110</f>
        <v>-331.10400000000078</v>
      </c>
      <c r="K102" s="58">
        <f>Hist!I110</f>
        <v>-212.89200000000073</v>
      </c>
      <c r="L102">
        <f>L352</f>
        <v>-94.431726137569513</v>
      </c>
      <c r="M102">
        <f t="shared" ref="M102:P102" si="70">M352</f>
        <v>38.997488372234933</v>
      </c>
      <c r="N102">
        <f t="shared" si="70"/>
        <v>191.39241411485312</v>
      </c>
      <c r="O102">
        <f t="shared" si="70"/>
        <v>349.05886125223282</v>
      </c>
      <c r="P102">
        <f t="shared" si="70"/>
        <v>528.79546880071109</v>
      </c>
      <c r="Q102" s="62" t="str">
        <f t="shared" ca="1" si="51"/>
        <v>=L352</v>
      </c>
    </row>
    <row r="103" spans="2:17" x14ac:dyDescent="0.25">
      <c r="D103" t="str">
        <f>Hist!C111</f>
        <v>Other</v>
      </c>
      <c r="E103" s="62" t="s">
        <v>99</v>
      </c>
      <c r="I103" s="58">
        <f>Hist!G111</f>
        <v>16.2</v>
      </c>
      <c r="J103" s="58">
        <f>Hist!H111</f>
        <v>13.599999999999998</v>
      </c>
      <c r="K103" s="58">
        <f>Hist!I111</f>
        <v>26.7</v>
      </c>
      <c r="L103">
        <f>K103</f>
        <v>26.7</v>
      </c>
      <c r="M103">
        <f t="shared" ref="M103:P103" si="71">L103</f>
        <v>26.7</v>
      </c>
      <c r="N103">
        <f t="shared" si="71"/>
        <v>26.7</v>
      </c>
      <c r="O103">
        <f t="shared" si="71"/>
        <v>26.7</v>
      </c>
      <c r="P103">
        <f t="shared" si="71"/>
        <v>26.7</v>
      </c>
      <c r="Q103" s="62" t="str">
        <f t="shared" ca="1" si="51"/>
        <v>=K103</v>
      </c>
    </row>
    <row r="104" spans="2:17" x14ac:dyDescent="0.25">
      <c r="D104" s="54" t="str">
        <f>Hist!C112</f>
        <v>Shareholder's Equity</v>
      </c>
      <c r="E104" s="62" t="s">
        <v>99</v>
      </c>
      <c r="I104" s="80">
        <f>SUM(I100:I103)</f>
        <v>7.4499999999998856</v>
      </c>
      <c r="J104" s="80">
        <f t="shared" ref="J104:P104" si="72">SUM(J100:J103)</f>
        <v>60.795999999999168</v>
      </c>
      <c r="K104" s="80">
        <f t="shared" si="72"/>
        <v>166.60799999999927</v>
      </c>
      <c r="L104" s="80">
        <f>SUM(L100:L103)</f>
        <v>243.06827386243049</v>
      </c>
      <c r="M104" s="80">
        <f t="shared" si="72"/>
        <v>371.49748837223501</v>
      </c>
      <c r="N104" s="80">
        <f t="shared" si="72"/>
        <v>536.89241411485318</v>
      </c>
      <c r="O104" s="80">
        <f t="shared" si="72"/>
        <v>707.55886125223287</v>
      </c>
      <c r="P104" s="80">
        <f t="shared" si="72"/>
        <v>900.29546880071121</v>
      </c>
      <c r="Q104" s="62" t="str">
        <f t="shared" ca="1" si="51"/>
        <v>=SUM(L100:L103)</v>
      </c>
    </row>
    <row r="106" spans="2:17" s="54" customFormat="1" ht="13.25" thickBot="1" x14ac:dyDescent="0.3">
      <c r="D106" s="54" t="str">
        <f>Hist!B114</f>
        <v>Total Liabilities and Equity</v>
      </c>
      <c r="E106" s="62" t="s">
        <v>99</v>
      </c>
      <c r="I106" s="79">
        <f>I98+I104</f>
        <v>1985.4499999999998</v>
      </c>
      <c r="J106" s="79">
        <f t="shared" ref="J106:P106" si="73">J98+J104</f>
        <v>3017.8959999999997</v>
      </c>
      <c r="K106" s="79">
        <f t="shared" si="73"/>
        <v>2997.1079999999993</v>
      </c>
      <c r="L106" s="79">
        <f t="shared" si="73"/>
        <v>2490.8848218733615</v>
      </c>
      <c r="M106" s="79">
        <f t="shared" si="73"/>
        <v>2650.0614722749815</v>
      </c>
      <c r="N106" s="79">
        <f t="shared" si="73"/>
        <v>2882.9929893092144</v>
      </c>
      <c r="O106" s="79">
        <f t="shared" si="73"/>
        <v>3092.5318174238018</v>
      </c>
      <c r="P106" s="79">
        <f t="shared" si="73"/>
        <v>3315.2908391430742</v>
      </c>
      <c r="Q106" s="62" t="str">
        <f t="shared" ca="1" si="51"/>
        <v>=L98+L104</v>
      </c>
    </row>
    <row r="107" spans="2:17" ht="14.4" thickTop="1" x14ac:dyDescent="0.25"/>
    <row r="108" spans="2:17" s="54" customFormat="1" ht="12.7" x14ac:dyDescent="0.25">
      <c r="D108" s="54" t="s">
        <v>176</v>
      </c>
      <c r="E108" s="68" t="str">
        <f>currency</f>
        <v>$'m</v>
      </c>
      <c r="F108" s="54" t="str">
        <f>IF(SUM(I108:P108)=0,"OK","ERROR")</f>
        <v>OK</v>
      </c>
      <c r="I108" s="54">
        <f>I85-I106</f>
        <v>0</v>
      </c>
      <c r="J108" s="54">
        <f t="shared" ref="J108:P108" si="74">J85-J106</f>
        <v>0</v>
      </c>
      <c r="K108" s="54">
        <f t="shared" si="74"/>
        <v>0</v>
      </c>
      <c r="L108" s="54">
        <f>L85-L106</f>
        <v>0</v>
      </c>
      <c r="M108" s="54">
        <f t="shared" si="74"/>
        <v>0</v>
      </c>
      <c r="N108" s="54">
        <f t="shared" si="74"/>
        <v>0</v>
      </c>
      <c r="O108" s="54">
        <f t="shared" si="74"/>
        <v>0</v>
      </c>
      <c r="P108" s="54">
        <f t="shared" si="74"/>
        <v>0</v>
      </c>
      <c r="Q108" s="62" t="str">
        <f t="shared" ca="1" si="51"/>
        <v>=L85-L106</v>
      </c>
    </row>
    <row r="109" spans="2:17" s="54" customFormat="1" ht="12.7" x14ac:dyDescent="0.25">
      <c r="E109" s="68"/>
      <c r="Q109" s="62"/>
    </row>
    <row r="111" spans="2:17" ht="17.3" thickBot="1" x14ac:dyDescent="0.35">
      <c r="B111" s="59" t="s">
        <v>177</v>
      </c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</row>
    <row r="112" spans="2:17" x14ac:dyDescent="0.25">
      <c r="C112" s="60" t="s">
        <v>178</v>
      </c>
      <c r="D112" s="60"/>
      <c r="E112" s="63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</row>
    <row r="113" spans="3:17" x14ac:dyDescent="0.25">
      <c r="D113" t="str">
        <f>Inp!D40</f>
        <v>Price Growth</v>
      </c>
      <c r="E113" s="62" t="s">
        <v>90</v>
      </c>
      <c r="L113" s="84">
        <f>Inp!L40</f>
        <v>0.03</v>
      </c>
      <c r="M113" s="84">
        <f>Inp!M40</f>
        <v>0.03</v>
      </c>
      <c r="N113" s="84">
        <f>Inp!N40</f>
        <v>0.03</v>
      </c>
      <c r="O113" s="84">
        <f>Inp!O40</f>
        <v>0.03</v>
      </c>
      <c r="P113" s="84">
        <f>Inp!P40</f>
        <v>0.03</v>
      </c>
      <c r="Q113" s="62" t="str">
        <f t="shared" ca="1" si="51"/>
        <v>=Inp!L40</v>
      </c>
    </row>
    <row r="114" spans="3:17" x14ac:dyDescent="0.25">
      <c r="D114" t="str">
        <f>Inp!D41</f>
        <v>Volume Growth</v>
      </c>
      <c r="E114" s="62" t="s">
        <v>90</v>
      </c>
      <c r="L114" s="84">
        <f>Inp!L41</f>
        <v>0.04</v>
      </c>
      <c r="M114" s="84">
        <f>Inp!M41</f>
        <v>0.04</v>
      </c>
      <c r="N114" s="84">
        <f>Inp!N41</f>
        <v>0.04</v>
      </c>
      <c r="O114" s="84">
        <f>Inp!O41</f>
        <v>0.04</v>
      </c>
      <c r="P114" s="84">
        <f>Inp!P41</f>
        <v>0.04</v>
      </c>
      <c r="Q114" s="62" t="str">
        <f t="shared" ca="1" si="51"/>
        <v>=Inp!L41</v>
      </c>
    </row>
    <row r="116" spans="3:17" x14ac:dyDescent="0.25">
      <c r="C116" s="61" t="s">
        <v>179</v>
      </c>
    </row>
    <row r="117" spans="3:17" x14ac:dyDescent="0.25">
      <c r="D117" t="str">
        <f>Inp!D33</f>
        <v>Average Sales Price</v>
      </c>
      <c r="E117" s="62" t="str">
        <f>Inp!E33</f>
        <v>$</v>
      </c>
      <c r="K117" s="58">
        <f>Inp!K33</f>
        <v>11600</v>
      </c>
      <c r="L117">
        <f t="shared" ref="L117:P118" si="75">K117*(1+L113)</f>
        <v>11948</v>
      </c>
      <c r="M117">
        <f t="shared" si="75"/>
        <v>12306.44</v>
      </c>
      <c r="N117">
        <f t="shared" si="75"/>
        <v>12675.6332</v>
      </c>
      <c r="O117">
        <f t="shared" si="75"/>
        <v>13055.902196000001</v>
      </c>
      <c r="P117">
        <f t="shared" si="75"/>
        <v>13447.579261880001</v>
      </c>
      <c r="Q117" s="62" t="str">
        <f t="shared" ca="1" si="51"/>
        <v>=K117*(1+L113)</v>
      </c>
    </row>
    <row r="118" spans="3:17" x14ac:dyDescent="0.25">
      <c r="D118" t="str">
        <f>Inp!D37</f>
        <v>Volume</v>
      </c>
      <c r="E118" s="62" t="str">
        <f>Inp!E37</f>
        <v>units</v>
      </c>
      <c r="K118" s="58">
        <f>Inp!K37</f>
        <v>276353.44827586209</v>
      </c>
      <c r="L118">
        <f t="shared" si="75"/>
        <v>287407.58620689658</v>
      </c>
      <c r="M118">
        <f t="shared" si="75"/>
        <v>298903.88965517248</v>
      </c>
      <c r="N118">
        <f t="shared" si="75"/>
        <v>310860.04524137941</v>
      </c>
      <c r="O118">
        <f t="shared" si="75"/>
        <v>323294.4470510346</v>
      </c>
      <c r="P118">
        <f t="shared" si="75"/>
        <v>336226.22493307601</v>
      </c>
      <c r="Q118" s="62" t="str">
        <f t="shared" ca="1" si="51"/>
        <v>=K118*(1+L114)</v>
      </c>
    </row>
    <row r="119" spans="3:17" x14ac:dyDescent="0.25">
      <c r="D119" t="str">
        <f>Inp!D38</f>
        <v>Volume Constraint</v>
      </c>
      <c r="E119" s="62" t="str">
        <f>Inp!E38</f>
        <v>units</v>
      </c>
      <c r="L119" s="58">
        <f>Inp!L38</f>
        <v>280000</v>
      </c>
      <c r="M119" s="58">
        <f>Inp!M38</f>
        <v>280000</v>
      </c>
      <c r="N119" s="58">
        <f>Inp!N38</f>
        <v>285000</v>
      </c>
      <c r="O119" s="58">
        <f>Inp!O38</f>
        <v>285000</v>
      </c>
      <c r="P119" s="58">
        <f>Inp!P38</f>
        <v>290000</v>
      </c>
      <c r="Q119" s="62" t="str">
        <f t="shared" ca="1" si="51"/>
        <v>=Inp!L38</v>
      </c>
    </row>
    <row r="120" spans="3:17" x14ac:dyDescent="0.25">
      <c r="D120" t="s">
        <v>180</v>
      </c>
      <c r="E120" s="62" t="s">
        <v>104</v>
      </c>
      <c r="K120">
        <f>MIN(K118,K119)</f>
        <v>276353.44827586209</v>
      </c>
      <c r="L120">
        <f>MIN(L118,L119)</f>
        <v>280000</v>
      </c>
      <c r="M120">
        <f t="shared" ref="M120:P120" si="76">MIN(M118,M119)</f>
        <v>280000</v>
      </c>
      <c r="N120">
        <f t="shared" si="76"/>
        <v>285000</v>
      </c>
      <c r="O120">
        <f t="shared" si="76"/>
        <v>285000</v>
      </c>
      <c r="P120">
        <f t="shared" si="76"/>
        <v>290000</v>
      </c>
      <c r="Q120" s="62" t="str">
        <f t="shared" ca="1" si="51"/>
        <v>=MIN(L118,L119)</v>
      </c>
    </row>
    <row r="121" spans="3:17" s="54" customFormat="1" ht="12.7" x14ac:dyDescent="0.25">
      <c r="D121" s="54" t="s">
        <v>179</v>
      </c>
      <c r="E121" s="68" t="str">
        <f>currency</f>
        <v>$'m</v>
      </c>
      <c r="L121" s="54">
        <f>L117*L120/million</f>
        <v>3345.44</v>
      </c>
      <c r="M121" s="54">
        <f>M117*M120/million</f>
        <v>3445.8031999999998</v>
      </c>
      <c r="N121" s="54">
        <f>N117*N120/million</f>
        <v>3612.5554619999998</v>
      </c>
      <c r="O121" s="54">
        <f>O117*O120/million</f>
        <v>3720.9321258600003</v>
      </c>
      <c r="P121" s="54">
        <f>P117*P120/million</f>
        <v>3899.7979859451998</v>
      </c>
      <c r="Q121" s="62" t="str">
        <f t="shared" ca="1" si="51"/>
        <v>=L117*L120/million</v>
      </c>
    </row>
    <row r="123" spans="3:17" x14ac:dyDescent="0.25">
      <c r="C123" s="61" t="s">
        <v>181</v>
      </c>
    </row>
    <row r="124" spans="3:17" x14ac:dyDescent="0.25">
      <c r="D124" t="str">
        <f>Inp!D35</f>
        <v>Auxillary Sales</v>
      </c>
      <c r="E124" s="62" t="str">
        <f>Inp!E35</f>
        <v>$'m</v>
      </c>
      <c r="K124" s="58">
        <f>Inp!K35</f>
        <v>623.5</v>
      </c>
      <c r="L124">
        <f>K124*(1+L125)</f>
        <v>635.97</v>
      </c>
      <c r="M124">
        <f t="shared" ref="M124:P124" si="77">L124*(1+M125)</f>
        <v>648.68940000000009</v>
      </c>
      <c r="N124">
        <f t="shared" si="77"/>
        <v>661.6631880000001</v>
      </c>
      <c r="O124">
        <f t="shared" si="77"/>
        <v>674.8964517600001</v>
      </c>
      <c r="P124">
        <f t="shared" si="77"/>
        <v>688.39438079520016</v>
      </c>
      <c r="Q124" s="62" t="str">
        <f t="shared" ca="1" si="51"/>
        <v>=K124*(1+L125)</v>
      </c>
    </row>
    <row r="125" spans="3:17" x14ac:dyDescent="0.25">
      <c r="D125" t="str">
        <f>Inp!D42</f>
        <v>Auxiliary Sales Growth</v>
      </c>
      <c r="E125" s="62" t="s">
        <v>90</v>
      </c>
      <c r="L125" s="84">
        <f>Inp!L42</f>
        <v>0.02</v>
      </c>
      <c r="M125" s="84">
        <f>Inp!M42</f>
        <v>0.02</v>
      </c>
      <c r="N125" s="84">
        <f>Inp!N42</f>
        <v>0.02</v>
      </c>
      <c r="O125" s="84">
        <f>Inp!O42</f>
        <v>0.02</v>
      </c>
      <c r="P125" s="84">
        <f>Inp!P42</f>
        <v>0.02</v>
      </c>
      <c r="Q125" s="62" t="str">
        <f t="shared" ca="1" si="51"/>
        <v>=Inp!L42</v>
      </c>
    </row>
    <row r="127" spans="3:17" x14ac:dyDescent="0.25">
      <c r="C127" s="61" t="s">
        <v>182</v>
      </c>
    </row>
    <row r="128" spans="3:17" x14ac:dyDescent="0.25">
      <c r="D128" t="str">
        <f>D121</f>
        <v>Core Revenue</v>
      </c>
      <c r="E128" s="62" t="str">
        <f>currency</f>
        <v>$'m</v>
      </c>
      <c r="L128">
        <f>L121</f>
        <v>3345.44</v>
      </c>
      <c r="M128">
        <f t="shared" ref="M128:P128" si="78">M121</f>
        <v>3445.8031999999998</v>
      </c>
      <c r="N128">
        <f t="shared" si="78"/>
        <v>3612.5554619999998</v>
      </c>
      <c r="O128">
        <f t="shared" si="78"/>
        <v>3720.9321258600003</v>
      </c>
      <c r="P128">
        <f t="shared" si="78"/>
        <v>3899.7979859451998</v>
      </c>
      <c r="Q128" s="62" t="str">
        <f t="shared" ca="1" si="51"/>
        <v>=L121</v>
      </c>
    </row>
    <row r="129" spans="3:17" x14ac:dyDescent="0.25">
      <c r="D129" t="str">
        <f>D124</f>
        <v>Auxillary Sales</v>
      </c>
      <c r="E129" s="62" t="str">
        <f>currency</f>
        <v>$'m</v>
      </c>
      <c r="L129">
        <f>L124</f>
        <v>635.97</v>
      </c>
      <c r="M129">
        <f t="shared" ref="M129:P129" si="79">M124</f>
        <v>648.68940000000009</v>
      </c>
      <c r="N129">
        <f t="shared" si="79"/>
        <v>661.6631880000001</v>
      </c>
      <c r="O129">
        <f t="shared" si="79"/>
        <v>674.8964517600001</v>
      </c>
      <c r="P129">
        <f t="shared" si="79"/>
        <v>688.39438079520016</v>
      </c>
      <c r="Q129" s="62" t="str">
        <f t="shared" ca="1" si="51"/>
        <v>=L124</v>
      </c>
    </row>
    <row r="130" spans="3:17" s="54" customFormat="1" ht="13.25" thickBot="1" x14ac:dyDescent="0.3">
      <c r="D130" s="54" t="s">
        <v>106</v>
      </c>
      <c r="E130" s="68" t="str">
        <f>currency</f>
        <v>$'m</v>
      </c>
      <c r="L130" s="79">
        <f>SUM(L128:L129)</f>
        <v>3981.41</v>
      </c>
      <c r="M130" s="79">
        <f t="shared" ref="M130:P130" si="80">SUM(M128:M129)</f>
        <v>4094.4926</v>
      </c>
      <c r="N130" s="79">
        <f t="shared" si="80"/>
        <v>4274.2186499999998</v>
      </c>
      <c r="O130" s="79">
        <f t="shared" si="80"/>
        <v>4395.82857762</v>
      </c>
      <c r="P130" s="79">
        <f t="shared" si="80"/>
        <v>4588.1923667403998</v>
      </c>
      <c r="Q130" s="62" t="str">
        <f t="shared" ca="1" si="51"/>
        <v>=SUM(L128:L129)</v>
      </c>
    </row>
    <row r="131" spans="3:17" ht="14.4" thickTop="1" x14ac:dyDescent="0.25"/>
    <row r="132" spans="3:17" x14ac:dyDescent="0.25">
      <c r="C132" s="60" t="s">
        <v>183</v>
      </c>
      <c r="D132" s="60"/>
      <c r="E132" s="63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</row>
    <row r="133" spans="3:17" x14ac:dyDescent="0.25">
      <c r="C133" s="61" t="s">
        <v>61</v>
      </c>
    </row>
    <row r="134" spans="3:17" x14ac:dyDescent="0.25">
      <c r="D134" t="str">
        <f>Inp!D46</f>
        <v>Fixed Costs</v>
      </c>
      <c r="E134" s="62" t="str">
        <f>Inp!E46</f>
        <v>%age</v>
      </c>
      <c r="F134" s="84">
        <f>Inp!F46</f>
        <v>0.44999999999999996</v>
      </c>
    </row>
    <row r="135" spans="3:17" x14ac:dyDescent="0.25">
      <c r="D135" t="str">
        <f>Inp!D47</f>
        <v>Variable Costs</v>
      </c>
      <c r="E135" s="62" t="str">
        <f>Inp!E47</f>
        <v>%age</v>
      </c>
      <c r="F135" s="84">
        <f>Inp!F47</f>
        <v>0.55000000000000004</v>
      </c>
    </row>
    <row r="136" spans="3:17" x14ac:dyDescent="0.25">
      <c r="D136" t="str">
        <f>Inp!D48</f>
        <v>Cost Inflation</v>
      </c>
      <c r="E136" s="62" t="str">
        <f>Inp!E48</f>
        <v>%age</v>
      </c>
      <c r="L136" s="84">
        <f>Inp!L48</f>
        <v>2.5000000000000001E-2</v>
      </c>
      <c r="M136" s="84">
        <f>Inp!M48</f>
        <v>2.5000000000000001E-2</v>
      </c>
      <c r="N136" s="84">
        <f>Inp!N48</f>
        <v>2.5000000000000001E-2</v>
      </c>
      <c r="O136" s="84">
        <f>Inp!O48</f>
        <v>2.5000000000000001E-2</v>
      </c>
      <c r="P136" s="84">
        <f>Inp!P48</f>
        <v>2.5000000000000001E-2</v>
      </c>
      <c r="Q136" s="62" t="str">
        <f t="shared" ca="1" si="51"/>
        <v>=Inp!L48</v>
      </c>
    </row>
    <row r="137" spans="3:17" x14ac:dyDescent="0.25">
      <c r="D137" t="s">
        <v>61</v>
      </c>
      <c r="E137" s="62" t="str">
        <f>currency</f>
        <v>$'m</v>
      </c>
      <c r="K137" s="58">
        <f>K12</f>
        <v>2788.8</v>
      </c>
    </row>
    <row r="138" spans="3:17" x14ac:dyDescent="0.25">
      <c r="D138" t="str">
        <f>D120</f>
        <v>Actual Volume</v>
      </c>
      <c r="E138" s="62" t="s">
        <v>104</v>
      </c>
      <c r="K138" s="58">
        <f>K120</f>
        <v>276353.44827586209</v>
      </c>
      <c r="L138" s="58">
        <f t="shared" ref="L138:P138" si="81">L120</f>
        <v>280000</v>
      </c>
      <c r="M138" s="58">
        <f t="shared" si="81"/>
        <v>280000</v>
      </c>
      <c r="N138" s="58">
        <f t="shared" si="81"/>
        <v>285000</v>
      </c>
      <c r="O138" s="58">
        <f t="shared" si="81"/>
        <v>285000</v>
      </c>
      <c r="P138" s="58">
        <f t="shared" si="81"/>
        <v>290000</v>
      </c>
      <c r="Q138" s="62" t="str">
        <f t="shared" ca="1" si="51"/>
        <v>=L120</v>
      </c>
    </row>
    <row r="140" spans="3:17" x14ac:dyDescent="0.25">
      <c r="D140" s="61" t="s">
        <v>184</v>
      </c>
    </row>
    <row r="141" spans="3:17" x14ac:dyDescent="0.25">
      <c r="D141" t="str">
        <f>D134</f>
        <v>Fixed Costs</v>
      </c>
      <c r="E141" s="62" t="str">
        <f>currency</f>
        <v>$'m</v>
      </c>
      <c r="K141">
        <f>$F134*K$137</f>
        <v>1254.96</v>
      </c>
      <c r="L141">
        <f>K141*(1+L136)</f>
        <v>1286.3339999999998</v>
      </c>
      <c r="M141">
        <f>L141*(1+M136)</f>
        <v>1318.4923499999998</v>
      </c>
      <c r="N141">
        <f>M141*(1+N136)</f>
        <v>1351.4546587499997</v>
      </c>
      <c r="O141">
        <f>N141*(1+O136)</f>
        <v>1385.2410252187497</v>
      </c>
      <c r="P141">
        <f>O141*(1+P136)</f>
        <v>1419.8720508492183</v>
      </c>
      <c r="Q141" s="62" t="str">
        <f t="shared" ca="1" si="51"/>
        <v>=K141*(1+L136)</v>
      </c>
    </row>
    <row r="142" spans="3:17" x14ac:dyDescent="0.25">
      <c r="D142" t="str">
        <f>D135</f>
        <v>Variable Costs</v>
      </c>
      <c r="E142" s="62" t="str">
        <f>currency</f>
        <v>$'m</v>
      </c>
      <c r="K142">
        <f>$F135*K$137</f>
        <v>1533.8400000000001</v>
      </c>
      <c r="L142">
        <f>L147*L138/million</f>
        <v>1592.9313809776338</v>
      </c>
      <c r="M142">
        <f>M147*M138/million</f>
        <v>1632.7546655020742</v>
      </c>
      <c r="N142">
        <f>N147*N138/million</f>
        <v>1703.4587737849765</v>
      </c>
      <c r="O142">
        <f>O147*O138/million</f>
        <v>1746.0452431296007</v>
      </c>
      <c r="P142">
        <f>P147*P138/million</f>
        <v>1821.0945562114869</v>
      </c>
      <c r="Q142" s="62" t="str">
        <f t="shared" ca="1" si="51"/>
        <v>=L147*L138/million</v>
      </c>
    </row>
    <row r="143" spans="3:17" s="54" customFormat="1" ht="13.25" thickBot="1" x14ac:dyDescent="0.3">
      <c r="D143" s="54" t="s">
        <v>186</v>
      </c>
      <c r="E143" s="68" t="str">
        <f>currency</f>
        <v>$'m</v>
      </c>
      <c r="K143" s="79">
        <f>SUM(K141:K142)</f>
        <v>2788.8</v>
      </c>
      <c r="L143" s="79">
        <f t="shared" ref="L143:P143" si="82">SUM(L141:L142)</f>
        <v>2879.2653809776339</v>
      </c>
      <c r="M143" s="79">
        <f t="shared" si="82"/>
        <v>2951.2470155020737</v>
      </c>
      <c r="N143" s="79">
        <f t="shared" si="82"/>
        <v>3054.913432534976</v>
      </c>
      <c r="O143" s="79">
        <f t="shared" si="82"/>
        <v>3131.2862683483504</v>
      </c>
      <c r="P143" s="79">
        <f t="shared" si="82"/>
        <v>3240.9666070607054</v>
      </c>
      <c r="Q143" s="62" t="str">
        <f t="shared" ref="Q143:Q205" ca="1" si="83">_xlfn.FORMULATEXT(L143)</f>
        <v>=SUM(L141:L142)</v>
      </c>
    </row>
    <row r="144" spans="3:17" ht="14.4" thickTop="1" x14ac:dyDescent="0.25"/>
    <row r="145" spans="3:17" x14ac:dyDescent="0.25">
      <c r="D145" s="61" t="s">
        <v>185</v>
      </c>
    </row>
    <row r="146" spans="3:17" x14ac:dyDescent="0.25">
      <c r="D146" t="str">
        <f>D134</f>
        <v>Fixed Costs</v>
      </c>
      <c r="E146" s="62" t="str">
        <f>currency</f>
        <v>$'m</v>
      </c>
      <c r="K146">
        <f t="shared" ref="K146:P146" si="84">K141*million/K138</f>
        <v>4541.1410924291104</v>
      </c>
      <c r="L146">
        <f t="shared" si="84"/>
        <v>4594.0499999999993</v>
      </c>
      <c r="M146">
        <f t="shared" si="84"/>
        <v>4708.901249999999</v>
      </c>
      <c r="N146">
        <f t="shared" si="84"/>
        <v>4741.9461710526311</v>
      </c>
      <c r="O146">
        <f t="shared" si="84"/>
        <v>4860.4948253289467</v>
      </c>
      <c r="P146">
        <f t="shared" si="84"/>
        <v>4896.1105201697183</v>
      </c>
      <c r="Q146" s="62" t="str">
        <f t="shared" ca="1" si="83"/>
        <v>=L141*million/L138</v>
      </c>
    </row>
    <row r="147" spans="3:17" x14ac:dyDescent="0.25">
      <c r="D147" t="str">
        <f>D135</f>
        <v>Variable Costs</v>
      </c>
      <c r="E147" s="62" t="str">
        <f>currency</f>
        <v>$'m</v>
      </c>
      <c r="K147">
        <f>K142*million/K138</f>
        <v>5550.2835574133578</v>
      </c>
      <c r="L147">
        <f>K147*(1+L136)</f>
        <v>5689.0406463486916</v>
      </c>
      <c r="M147">
        <f t="shared" ref="M147:P147" si="85">L147*(1+M136)</f>
        <v>5831.266662507408</v>
      </c>
      <c r="N147">
        <f t="shared" si="85"/>
        <v>5977.0483290700931</v>
      </c>
      <c r="O147">
        <f t="shared" si="85"/>
        <v>6126.4745372968446</v>
      </c>
      <c r="P147">
        <f t="shared" si="85"/>
        <v>6279.636400729265</v>
      </c>
      <c r="Q147" s="62" t="str">
        <f t="shared" ca="1" si="83"/>
        <v>=K147*(1+L136)</v>
      </c>
    </row>
    <row r="150" spans="3:17" x14ac:dyDescent="0.25">
      <c r="C150" s="61" t="s">
        <v>60</v>
      </c>
    </row>
    <row r="151" spans="3:17" s="54" customFormat="1" ht="12.7" x14ac:dyDescent="0.25">
      <c r="D151" s="54" t="str">
        <f>Inp!D49</f>
        <v>SG&amp;A</v>
      </c>
      <c r="E151" s="68"/>
      <c r="L151" s="81">
        <f>Inp!L49</f>
        <v>635</v>
      </c>
      <c r="M151" s="54">
        <f>L151*(1+M136)</f>
        <v>650.875</v>
      </c>
      <c r="N151" s="54">
        <f t="shared" ref="N151:P151" si="86">M151*(1+N136)</f>
        <v>667.14687499999991</v>
      </c>
      <c r="O151" s="54">
        <f t="shared" si="86"/>
        <v>683.82554687499987</v>
      </c>
      <c r="P151" s="54">
        <f t="shared" si="86"/>
        <v>700.92118554687477</v>
      </c>
      <c r="Q151" s="62" t="str">
        <f t="shared" ca="1" si="83"/>
        <v>=Inp!L49</v>
      </c>
    </row>
    <row r="153" spans="3:17" x14ac:dyDescent="0.25">
      <c r="C153" s="60" t="s">
        <v>187</v>
      </c>
      <c r="D153" s="60"/>
      <c r="E153" s="63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</row>
    <row r="154" spans="3:17" x14ac:dyDescent="0.25">
      <c r="C154" s="61" t="s">
        <v>188</v>
      </c>
    </row>
    <row r="155" spans="3:17" x14ac:dyDescent="0.25">
      <c r="D155" t="str">
        <f>Inp!D54</f>
        <v>Additions</v>
      </c>
      <c r="E155" s="62" t="str">
        <f>Inp!E54</f>
        <v>$'m</v>
      </c>
      <c r="L155" s="58">
        <f>Inp!L54</f>
        <v>245</v>
      </c>
      <c r="M155" s="58">
        <f>Inp!M54</f>
        <v>280</v>
      </c>
      <c r="N155" s="58">
        <f>Inp!N54</f>
        <v>265</v>
      </c>
      <c r="O155" s="58">
        <f>Inp!O54</f>
        <v>265</v>
      </c>
      <c r="P155" s="58">
        <f>Inp!P54</f>
        <v>265</v>
      </c>
      <c r="Q155" s="62" t="str">
        <f t="shared" ca="1" si="83"/>
        <v>=Inp!L54</v>
      </c>
    </row>
    <row r="156" spans="3:17" x14ac:dyDescent="0.25">
      <c r="D156" t="s">
        <v>189</v>
      </c>
      <c r="E156" s="62" t="str">
        <f>currency</f>
        <v>$'m</v>
      </c>
      <c r="K156" s="58">
        <f>K78</f>
        <v>636.6</v>
      </c>
    </row>
    <row r="157" spans="3:17" x14ac:dyDescent="0.25">
      <c r="D157" t="str">
        <f>Inp!D58</f>
        <v>Existing tangible assets useful life</v>
      </c>
      <c r="E157" s="62" t="str">
        <f>Inp!E58</f>
        <v>years</v>
      </c>
      <c r="F157" s="58">
        <f>Inp!F58</f>
        <v>10</v>
      </c>
    </row>
    <row r="158" spans="3:17" s="54" customFormat="1" ht="12.7" x14ac:dyDescent="0.25">
      <c r="D158" s="54" t="s">
        <v>190</v>
      </c>
      <c r="E158" s="68"/>
      <c r="G158" s="62" t="str">
        <f ca="1">_xlfn.FORMULATEXT(L158)</f>
        <v>=($K$156-SUM($K158:K158))*(1/$F$157)</v>
      </c>
      <c r="L158" s="54">
        <f>($K$156-SUM($K158:K158))*(1/$F$157)</f>
        <v>63.660000000000004</v>
      </c>
      <c r="M158" s="54">
        <f>($K$156-SUM($K158:L158))*(1/$F$157)</f>
        <v>57.294000000000011</v>
      </c>
      <c r="N158" s="54">
        <f>($K$156-SUM($K158:M158))*(1/$F$157)</f>
        <v>51.564599999999999</v>
      </c>
      <c r="O158" s="54">
        <f>($K$156-SUM($K158:N158))*(1/$F$157)</f>
        <v>46.408140000000003</v>
      </c>
      <c r="P158" s="54">
        <f>($K$156-SUM($K158:O158))*(1/$F$157)</f>
        <v>41.767326000000004</v>
      </c>
    </row>
    <row r="160" spans="3:17" x14ac:dyDescent="0.25">
      <c r="D160" t="str">
        <f>Inp!D59</f>
        <v>New tangible assets useful life</v>
      </c>
      <c r="E160" s="62" t="str">
        <f>Inp!E59</f>
        <v>years</v>
      </c>
      <c r="F160" s="58">
        <f>Inp!F59</f>
        <v>16</v>
      </c>
    </row>
    <row r="161" spans="3:17" x14ac:dyDescent="0.25">
      <c r="D161" s="54" t="s">
        <v>191</v>
      </c>
    </row>
    <row r="162" spans="3:17" x14ac:dyDescent="0.25">
      <c r="I162" s="85" t="s">
        <v>198</v>
      </c>
      <c r="J162" s="85" t="s">
        <v>140</v>
      </c>
      <c r="L162" s="100">
        <f>L7</f>
        <v>2025</v>
      </c>
      <c r="M162" s="100">
        <f t="shared" ref="M162:P162" si="87">M7</f>
        <v>2026</v>
      </c>
      <c r="N162" s="100">
        <f t="shared" si="87"/>
        <v>2027</v>
      </c>
      <c r="O162" s="100">
        <f t="shared" si="87"/>
        <v>2028</v>
      </c>
      <c r="P162" s="100">
        <f t="shared" si="87"/>
        <v>2029</v>
      </c>
      <c r="Q162" s="62" t="str">
        <f ca="1">_xlfn.FORMULATEXT(L162)</f>
        <v>=L7</v>
      </c>
    </row>
    <row r="163" spans="3:17" ht="23.65" x14ac:dyDescent="0.25">
      <c r="D163" s="107" t="str">
        <f ca="1">_xlfn.FORMULATEXT(L163)</f>
        <v>=IF(L$162=$I163,$J163*(1/$F$160),(L$162&gt;$I163)*(($J163-SUM($K163:K163))*(1/$F$160)))</v>
      </c>
      <c r="I163" s="64">
        <f t="array" ref="I163:I167">TRANSPOSE(L7:P7)</f>
        <v>2025</v>
      </c>
      <c r="J163">
        <f t="array" ref="J163:J167">TRANSPOSE(L155:P155)</f>
        <v>245</v>
      </c>
      <c r="L163">
        <f>IF(L$162=$I163,$J163*(1/$F$160),(L$162&gt;$I163)*(($J163-SUM($K163:K163))*(1/$F$160)))</f>
        <v>15.3125</v>
      </c>
      <c r="M163">
        <f>IF(M$162=$I163,$J163*(1/$F$160),(M$162&gt;$I163)*(($J163-SUM($K163:L163))*(1/$F$160)))</f>
        <v>14.35546875</v>
      </c>
      <c r="N163">
        <f>IF(N$162=$I163,$J163*(1/$F$160),(N$162&gt;$I163)*(($J163-SUM($K163:M163))*(1/$F$160)))</f>
        <v>13.458251953125</v>
      </c>
      <c r="O163">
        <f>IF(O$162=$I163,$J163*(1/$F$160),(O$162&gt;$I163)*(($J163-SUM($K163:N163))*(1/$F$160)))</f>
        <v>12.617111206054688</v>
      </c>
      <c r="P163">
        <f>IF(P$162=$I163,$J163*(1/$F$160),(P$162&gt;$I163)*(($J163-SUM($K163:O163))*(1/$F$160)))</f>
        <v>11.82854175567627</v>
      </c>
    </row>
    <row r="164" spans="3:17" x14ac:dyDescent="0.25">
      <c r="I164" s="64">
        <v>2026</v>
      </c>
      <c r="J164">
        <v>280</v>
      </c>
      <c r="L164">
        <f>IF(L$162=$I164,$J164*(1/$F$160),(L$162&gt;$I164)*(($J164-SUM($K164:K164))*(1/$F$160)))</f>
        <v>0</v>
      </c>
      <c r="M164">
        <f>IF(M$162=$I164,$J164*(1/$F$160),(M$162&gt;$I164)*(($J164-SUM($K164:L164))*(1/$F$160)))</f>
        <v>17.5</v>
      </c>
      <c r="N164">
        <f>IF(N$162=$I164,$J164*(1/$F$160),(N$162&gt;$I164)*(($J164-SUM($K164:M164))*(1/$F$160)))</f>
        <v>16.40625</v>
      </c>
      <c r="O164">
        <f>IF(O$162=$I164,$J164*(1/$F$160),(O$162&gt;$I164)*(($J164-SUM($K164:N164))*(1/$F$160)))</f>
        <v>15.380859375</v>
      </c>
      <c r="P164">
        <f>IF(P$162=$I164,$J164*(1/$F$160),(P$162&gt;$I164)*(($J164-SUM($K164:O164))*(1/$F$160)))</f>
        <v>14.4195556640625</v>
      </c>
    </row>
    <row r="165" spans="3:17" x14ac:dyDescent="0.25">
      <c r="I165" s="64">
        <v>2027</v>
      </c>
      <c r="J165">
        <v>265</v>
      </c>
      <c r="L165">
        <f>IF(L$162=$I165,$J165*(1/$F$160),(L$162&gt;$I165)*(($J165-SUM($K165:K165))*(1/$F$160)))</f>
        <v>0</v>
      </c>
      <c r="M165">
        <f>IF(M$162=$I165,$J165*(1/$F$160),(M$162&gt;$I165)*(($J165-SUM($K165:L165))*(1/$F$160)))</f>
        <v>0</v>
      </c>
      <c r="N165">
        <f>IF(N$162=$I165,$J165*(1/$F$160),(N$162&gt;$I165)*(($J165-SUM($K165:M165))*(1/$F$160)))</f>
        <v>16.5625</v>
      </c>
      <c r="O165">
        <f>IF(O$162=$I165,$J165*(1/$F$160),(O$162&gt;$I165)*(($J165-SUM($K165:N165))*(1/$F$160)))</f>
        <v>15.52734375</v>
      </c>
      <c r="P165">
        <f>IF(P$162=$I165,$J165*(1/$F$160),(P$162&gt;$I165)*(($J165-SUM($K165:O165))*(1/$F$160)))</f>
        <v>14.556884765625</v>
      </c>
    </row>
    <row r="166" spans="3:17" x14ac:dyDescent="0.25">
      <c r="I166" s="64">
        <v>2028</v>
      </c>
      <c r="J166">
        <v>265</v>
      </c>
      <c r="L166">
        <f>IF(L$162=$I166,$J166*(1/$F$160),(L$162&gt;$I166)*(($J166-SUM($K166:K166))*(1/$F$160)))</f>
        <v>0</v>
      </c>
      <c r="M166">
        <f>IF(M$162=$I166,$J166*(1/$F$160),(M$162&gt;$I166)*(($J166-SUM($K166:L166))*(1/$F$160)))</f>
        <v>0</v>
      </c>
      <c r="N166">
        <f>IF(N$162=$I166,$J166*(1/$F$160),(N$162&gt;$I166)*(($J166-SUM($K166:M166))*(1/$F$160)))</f>
        <v>0</v>
      </c>
      <c r="O166">
        <f>IF(O$162=$I166,$J166*(1/$F$160),(O$162&gt;$I166)*(($J166-SUM($K166:N166))*(1/$F$160)))</f>
        <v>16.5625</v>
      </c>
      <c r="P166">
        <f>IF(P$162=$I166,$J166*(1/$F$160),(P$162&gt;$I166)*(($J166-SUM($K166:O166))*(1/$F$160)))</f>
        <v>15.52734375</v>
      </c>
    </row>
    <row r="167" spans="3:17" x14ac:dyDescent="0.25">
      <c r="I167" s="64">
        <v>2029</v>
      </c>
      <c r="J167">
        <v>265</v>
      </c>
      <c r="L167">
        <f>IF(L$162=$I167,$J167*(1/$F$160),(L$162&gt;$I167)*(($J167-SUM($K167:K167))*(1/$F$160)))</f>
        <v>0</v>
      </c>
      <c r="M167">
        <f>IF(M$162=$I167,$J167*(1/$F$160),(M$162&gt;$I167)*(($J167-SUM($K167:L167))*(1/$F$160)))</f>
        <v>0</v>
      </c>
      <c r="N167">
        <f>IF(N$162=$I167,$J167*(1/$F$160),(N$162&gt;$I167)*(($J167-SUM($K167:M167))*(1/$F$160)))</f>
        <v>0</v>
      </c>
      <c r="O167">
        <f>IF(O$162=$I167,$J167*(1/$F$160),(O$162&gt;$I167)*(($J167-SUM($K167:N167))*(1/$F$160)))</f>
        <v>0</v>
      </c>
      <c r="P167">
        <f>IF(P$162=$I167,$J167*(1/$F$160),(P$162&gt;$I167)*(($J167-SUM($K167:O167))*(1/$F$160)))</f>
        <v>16.5625</v>
      </c>
    </row>
    <row r="169" spans="3:17" x14ac:dyDescent="0.25">
      <c r="H169" s="54" t="s">
        <v>192</v>
      </c>
      <c r="L169" s="54">
        <f>SUM(L163:L168)</f>
        <v>15.3125</v>
      </c>
      <c r="M169" s="54">
        <f t="shared" ref="M169:P169" si="88">SUM(M163:M168)</f>
        <v>31.85546875</v>
      </c>
      <c r="N169" s="54">
        <f t="shared" si="88"/>
        <v>46.427001953125</v>
      </c>
      <c r="O169" s="54">
        <f t="shared" si="88"/>
        <v>60.087814331054688</v>
      </c>
      <c r="P169" s="54">
        <f t="shared" si="88"/>
        <v>72.89482593536377</v>
      </c>
      <c r="Q169" s="62" t="str">
        <f t="shared" ca="1" si="83"/>
        <v>=SUM(L163:L168)</v>
      </c>
    </row>
    <row r="170" spans="3:17" x14ac:dyDescent="0.25">
      <c r="D170" s="54" t="s">
        <v>193</v>
      </c>
    </row>
    <row r="171" spans="3:17" x14ac:dyDescent="0.25">
      <c r="D171" t="s">
        <v>194</v>
      </c>
      <c r="E171" s="62" t="str">
        <f>currency</f>
        <v>$'m</v>
      </c>
      <c r="L171">
        <f>K174</f>
        <v>636.6</v>
      </c>
      <c r="M171">
        <f t="shared" ref="M171:P171" si="89">L174</f>
        <v>802.62750000000005</v>
      </c>
      <c r="N171">
        <f t="shared" si="89"/>
        <v>993.47803125000007</v>
      </c>
      <c r="O171">
        <f t="shared" si="89"/>
        <v>1160.4864292968753</v>
      </c>
      <c r="P171">
        <f t="shared" si="89"/>
        <v>1318.9904749658206</v>
      </c>
      <c r="Q171" s="62" t="str">
        <f t="shared" ca="1" si="83"/>
        <v>=K174</v>
      </c>
    </row>
    <row r="172" spans="3:17" x14ac:dyDescent="0.25">
      <c r="D172" t="s">
        <v>195</v>
      </c>
      <c r="E172" s="62" t="str">
        <f>currency</f>
        <v>$'m</v>
      </c>
      <c r="L172">
        <f>L155</f>
        <v>245</v>
      </c>
      <c r="M172">
        <f t="shared" ref="M172:P172" si="90">M155</f>
        <v>280</v>
      </c>
      <c r="N172">
        <f t="shared" si="90"/>
        <v>265</v>
      </c>
      <c r="O172">
        <f t="shared" si="90"/>
        <v>265</v>
      </c>
      <c r="P172">
        <f t="shared" si="90"/>
        <v>265</v>
      </c>
      <c r="Q172" s="62" t="str">
        <f t="shared" ca="1" si="83"/>
        <v>=L155</v>
      </c>
    </row>
    <row r="173" spans="3:17" x14ac:dyDescent="0.25">
      <c r="D173" t="s">
        <v>196</v>
      </c>
      <c r="E173" s="62" t="str">
        <f>currency</f>
        <v>$'m</v>
      </c>
      <c r="L173">
        <f>L169+L158</f>
        <v>78.972499999999997</v>
      </c>
      <c r="M173">
        <f t="shared" ref="M173:P173" si="91">M169+M158</f>
        <v>89.149468750000011</v>
      </c>
      <c r="N173">
        <f t="shared" si="91"/>
        <v>97.991601953124999</v>
      </c>
      <c r="O173">
        <f t="shared" si="91"/>
        <v>106.49595433105469</v>
      </c>
      <c r="P173">
        <f t="shared" si="91"/>
        <v>114.66215193536377</v>
      </c>
      <c r="Q173" s="62" t="str">
        <f t="shared" ca="1" si="83"/>
        <v>=L169+L158</v>
      </c>
    </row>
    <row r="174" spans="3:17" s="54" customFormat="1" ht="13.25" thickBot="1" x14ac:dyDescent="0.3">
      <c r="D174" s="54" t="s">
        <v>197</v>
      </c>
      <c r="E174" s="68" t="str">
        <f>currency</f>
        <v>$'m</v>
      </c>
      <c r="K174" s="81">
        <f>K78</f>
        <v>636.6</v>
      </c>
      <c r="L174" s="79">
        <f>L171+L172-L173</f>
        <v>802.62750000000005</v>
      </c>
      <c r="M174" s="79">
        <f t="shared" ref="M174:P174" si="92">M171+M172-M173</f>
        <v>993.47803125000007</v>
      </c>
      <c r="N174" s="79">
        <f t="shared" si="92"/>
        <v>1160.4864292968753</v>
      </c>
      <c r="O174" s="79">
        <f t="shared" si="92"/>
        <v>1318.9904749658206</v>
      </c>
      <c r="P174" s="79">
        <f t="shared" si="92"/>
        <v>1469.3283230304569</v>
      </c>
      <c r="Q174" s="62" t="str">
        <f t="shared" ca="1" si="83"/>
        <v>=L171+L172-L173</v>
      </c>
    </row>
    <row r="175" spans="3:17" ht="14.4" thickTop="1" x14ac:dyDescent="0.25"/>
    <row r="176" spans="3:17" x14ac:dyDescent="0.25">
      <c r="C176" s="61" t="s">
        <v>199</v>
      </c>
    </row>
    <row r="177" spans="4:17" x14ac:dyDescent="0.25">
      <c r="D177" t="str">
        <f>Inp!D62</f>
        <v>Software cost (Additions)</v>
      </c>
      <c r="E177" s="62" t="str">
        <f>currency</f>
        <v>$'m</v>
      </c>
      <c r="L177" s="58">
        <f>Inp!L62</f>
        <v>52</v>
      </c>
      <c r="M177" s="58">
        <f>Inp!M62</f>
        <v>52</v>
      </c>
      <c r="N177" s="58">
        <f>Inp!N62</f>
        <v>52</v>
      </c>
      <c r="O177" s="58">
        <f>Inp!O62</f>
        <v>52</v>
      </c>
      <c r="P177" s="58">
        <f>Inp!P62</f>
        <v>52</v>
      </c>
      <c r="Q177" s="62" t="str">
        <f t="shared" ca="1" si="83"/>
        <v>=Inp!L62</v>
      </c>
    </row>
    <row r="178" spans="4:17" x14ac:dyDescent="0.25">
      <c r="D178" t="s">
        <v>200</v>
      </c>
      <c r="E178" s="62" t="str">
        <f>currency</f>
        <v>$'m</v>
      </c>
      <c r="K178" s="81">
        <f>K80</f>
        <v>207.89999999999998</v>
      </c>
    </row>
    <row r="179" spans="4:17" x14ac:dyDescent="0.25">
      <c r="D179" t="str">
        <f>Inp!D66</f>
        <v>Existing intangible assets useful life</v>
      </c>
      <c r="E179" s="62" t="str">
        <f>Inp!E66</f>
        <v>years</v>
      </c>
      <c r="F179" s="58">
        <f>Inp!F66</f>
        <v>6</v>
      </c>
    </row>
    <row r="180" spans="4:17" x14ac:dyDescent="0.25">
      <c r="D180" s="54" t="s">
        <v>214</v>
      </c>
      <c r="E180" s="62" t="str">
        <f>currency</f>
        <v>$'m</v>
      </c>
      <c r="G180" s="62" t="str">
        <f ca="1">_xlfn.FORMULATEXT(L180)</f>
        <v>=($K$178-SUM($K180:K180))*(1/$F$179)</v>
      </c>
      <c r="L180">
        <f>($K$178-SUM($K180:K180))*(1/$F$179)</f>
        <v>34.649999999999991</v>
      </c>
      <c r="M180">
        <f>($K$178-SUM($K180:L180))*(1/$F$179)</f>
        <v>28.875</v>
      </c>
      <c r="N180">
        <f>($K$178-SUM($K180:M180))*(1/$F$179)</f>
        <v>24.0625</v>
      </c>
      <c r="O180">
        <f>($K$178-SUM($K180:N180))*(1/$F$179)</f>
        <v>20.052083333333329</v>
      </c>
      <c r="P180">
        <f>($K$178-SUM($K180:O180))*(1/$F$179)</f>
        <v>16.710069444444443</v>
      </c>
    </row>
    <row r="182" spans="4:17" x14ac:dyDescent="0.25">
      <c r="D182" t="str">
        <f>Inp!D67</f>
        <v>New intangible assets useful life</v>
      </c>
      <c r="E182" s="62" t="str">
        <f>Inp!E66</f>
        <v>years</v>
      </c>
      <c r="F182" s="58">
        <f>Inp!F67</f>
        <v>11</v>
      </c>
    </row>
    <row r="183" spans="4:17" x14ac:dyDescent="0.25">
      <c r="D183" s="54" t="s">
        <v>215</v>
      </c>
    </row>
    <row r="184" spans="4:17" x14ac:dyDescent="0.25">
      <c r="I184" s="85" t="s">
        <v>198</v>
      </c>
      <c r="J184" s="85" t="s">
        <v>140</v>
      </c>
      <c r="L184" s="100">
        <f>L7</f>
        <v>2025</v>
      </c>
      <c r="M184" s="100">
        <f t="shared" ref="M184:P184" si="93">M7</f>
        <v>2026</v>
      </c>
      <c r="N184" s="100">
        <f t="shared" si="93"/>
        <v>2027</v>
      </c>
      <c r="O184" s="100">
        <f t="shared" si="93"/>
        <v>2028</v>
      </c>
      <c r="P184" s="100">
        <f t="shared" si="93"/>
        <v>2029</v>
      </c>
      <c r="Q184" s="62" t="str">
        <f t="shared" ca="1" si="83"/>
        <v>=L7</v>
      </c>
    </row>
    <row r="185" spans="4:17" ht="23.65" x14ac:dyDescent="0.25">
      <c r="D185" s="107" t="str">
        <f ca="1">_xlfn.FORMULATEXT(P185)</f>
        <v>=IF(P$184=$I185,$J185*(1/$F$182),(P$184&gt;$I185)*(($J185-SUM($K185:O185))*(1/$F$182)))</v>
      </c>
      <c r="I185" s="64">
        <f t="array" ref="I185:I189">TRANSPOSE(L184:P184)</f>
        <v>2025</v>
      </c>
      <c r="J185">
        <f t="array" ref="J185:J189">TRANSPOSE(L177:P177)</f>
        <v>52</v>
      </c>
      <c r="L185">
        <f>IF(L$184=$I185,$J185*(1/$F$182),(L$184&gt;$I185)*(($J185-SUM($K185:K185))*(1/$F$182)))</f>
        <v>4.7272727272727275</v>
      </c>
      <c r="M185">
        <f>IF(M$184=$I185,$J185*(1/$F$182),(M$184&gt;$I185)*(($J185-SUM($K185:L185))*(1/$F$182)))</f>
        <v>4.2975206611570247</v>
      </c>
      <c r="N185">
        <f>IF(N$184=$I185,$J185*(1/$F$182),(N$184&gt;$I185)*(($J185-SUM($K185:M185))*(1/$F$182)))</f>
        <v>3.9068369646882042</v>
      </c>
      <c r="O185">
        <f>IF(O$184=$I185,$J185*(1/$F$182),(O$184&gt;$I185)*(($J185-SUM($K185:N185))*(1/$F$182)))</f>
        <v>3.5516699678983681</v>
      </c>
      <c r="P185">
        <f>IF(P$184=$I185,$J185*(1/$F$182),(P$184&gt;$I185)*(($J185-SUM($K185:O185))*(1/$F$182)))</f>
        <v>3.2287908799076073</v>
      </c>
      <c r="Q185" s="107"/>
    </row>
    <row r="186" spans="4:17" x14ac:dyDescent="0.25">
      <c r="I186" s="64">
        <v>2026</v>
      </c>
      <c r="J186">
        <v>52</v>
      </c>
      <c r="L186">
        <f>IF(L$184=$I186,$J186*(1/$F$182),(L$184&gt;$I186)*(($J186-SUM($K186:K186))*(1/$F$182)))</f>
        <v>0</v>
      </c>
      <c r="M186">
        <f>IF(M$184=$I186,$J186*(1/$F$182),(M$184&gt;$I186)*(($J186-SUM($K186:L186))*(1/$F$182)))</f>
        <v>4.7272727272727275</v>
      </c>
      <c r="N186">
        <f>IF(N$184=$I186,$J186*(1/$F$182),(N$184&gt;$I186)*(($J186-SUM($K186:M186))*(1/$F$182)))</f>
        <v>4.2975206611570247</v>
      </c>
      <c r="O186">
        <f>IF(O$184=$I186,$J186*(1/$F$182),(O$184&gt;$I186)*(($J186-SUM($K186:N186))*(1/$F$182)))</f>
        <v>3.9068369646882042</v>
      </c>
      <c r="P186">
        <f>IF(P$184=$I186,$J186*(1/$F$182),(P$184&gt;$I186)*(($J186-SUM($K186:O186))*(1/$F$182)))</f>
        <v>3.5516699678983681</v>
      </c>
    </row>
    <row r="187" spans="4:17" x14ac:dyDescent="0.25">
      <c r="I187" s="64">
        <v>2027</v>
      </c>
      <c r="J187">
        <v>52</v>
      </c>
      <c r="L187">
        <f>IF(L$184=$I187,$J187*(1/$F$182),(L$184&gt;$I187)*(($J187-SUM($K187:K187))*(1/$F$182)))</f>
        <v>0</v>
      </c>
      <c r="M187">
        <f>IF(M$184=$I187,$J187*(1/$F$182),(M$184&gt;$I187)*(($J187-SUM($K187:L187))*(1/$F$182)))</f>
        <v>0</v>
      </c>
      <c r="N187">
        <f>IF(N$184=$I187,$J187*(1/$F$182),(N$184&gt;$I187)*(($J187-SUM($K187:M187))*(1/$F$182)))</f>
        <v>4.7272727272727275</v>
      </c>
      <c r="O187">
        <f>IF(O$184=$I187,$J187*(1/$F$182),(O$184&gt;$I187)*(($J187-SUM($K187:N187))*(1/$F$182)))</f>
        <v>4.2975206611570247</v>
      </c>
      <c r="P187">
        <f>IF(P$184=$I187,$J187*(1/$F$182),(P$184&gt;$I187)*(($J187-SUM($K187:O187))*(1/$F$182)))</f>
        <v>3.9068369646882042</v>
      </c>
    </row>
    <row r="188" spans="4:17" x14ac:dyDescent="0.25">
      <c r="I188" s="64">
        <v>2028</v>
      </c>
      <c r="J188">
        <v>52</v>
      </c>
      <c r="L188">
        <f>IF(L$184=$I188,$J188*(1/$F$182),(L$184&gt;$I188)*(($J188-SUM($K188:K188))*(1/$F$182)))</f>
        <v>0</v>
      </c>
      <c r="M188">
        <f>IF(M$184=$I188,$J188*(1/$F$182),(M$184&gt;$I188)*(($J188-SUM($K188:L188))*(1/$F$182)))</f>
        <v>0</v>
      </c>
      <c r="N188">
        <f>IF(N$184=$I188,$J188*(1/$F$182),(N$184&gt;$I188)*(($J188-SUM($K188:M188))*(1/$F$182)))</f>
        <v>0</v>
      </c>
      <c r="O188">
        <f>IF(O$184=$I188,$J188*(1/$F$182),(O$184&gt;$I188)*(($J188-SUM($K188:N188))*(1/$F$182)))</f>
        <v>4.7272727272727275</v>
      </c>
      <c r="P188">
        <f>IF(P$184=$I188,$J188*(1/$F$182),(P$184&gt;$I188)*(($J188-SUM($K188:O188))*(1/$F$182)))</f>
        <v>4.2975206611570247</v>
      </c>
    </row>
    <row r="189" spans="4:17" x14ac:dyDescent="0.25">
      <c r="I189" s="64">
        <v>2029</v>
      </c>
      <c r="J189">
        <v>52</v>
      </c>
      <c r="L189">
        <f>IF(L$184=$I189,$J189*(1/$F$182),(L$184&gt;$I189)*(($J189-SUM($K189:K189))*(1/$F$182)))</f>
        <v>0</v>
      </c>
      <c r="M189">
        <f>IF(M$184=$I189,$J189*(1/$F$182),(M$184&gt;$I189)*(($J189-SUM($K189:L189))*(1/$F$182)))</f>
        <v>0</v>
      </c>
      <c r="N189">
        <f>IF(N$184=$I189,$J189*(1/$F$182),(N$184&gt;$I189)*(($J189-SUM($K189:M189))*(1/$F$182)))</f>
        <v>0</v>
      </c>
      <c r="O189">
        <f>IF(O$184=$I189,$J189*(1/$F$182),(O$184&gt;$I189)*(($J189-SUM($K189:N189))*(1/$F$182)))</f>
        <v>0</v>
      </c>
      <c r="P189">
        <f>IF(P$184=$I189,$J189*(1/$F$182),(P$184&gt;$I189)*(($J189-SUM($K189:O189))*(1/$F$182)))</f>
        <v>4.7272727272727275</v>
      </c>
    </row>
    <row r="191" spans="4:17" x14ac:dyDescent="0.25">
      <c r="H191" s="54" t="s">
        <v>211</v>
      </c>
      <c r="L191" s="54">
        <f>SUM(L185:L190)</f>
        <v>4.7272727272727275</v>
      </c>
      <c r="M191" s="54">
        <f t="shared" ref="M191" si="94">SUM(M185:M190)</f>
        <v>9.0247933884297531</v>
      </c>
      <c r="N191" s="54">
        <f t="shared" ref="N191" si="95">SUM(N185:N190)</f>
        <v>12.931630353117956</v>
      </c>
      <c r="O191" s="54">
        <f t="shared" ref="O191" si="96">SUM(O185:O190)</f>
        <v>16.483300321016323</v>
      </c>
      <c r="P191" s="54">
        <f t="shared" ref="P191" si="97">SUM(P185:P190)</f>
        <v>19.712091200923933</v>
      </c>
      <c r="Q191" s="62" t="str">
        <f t="shared" ca="1" si="83"/>
        <v>=SUM(L185:L190)</v>
      </c>
    </row>
    <row r="192" spans="4:17" x14ac:dyDescent="0.25">
      <c r="H192" s="54"/>
      <c r="L192" s="54"/>
      <c r="M192" s="54"/>
      <c r="N192" s="54"/>
      <c r="O192" s="54"/>
      <c r="P192" s="54"/>
    </row>
    <row r="193" spans="3:17" x14ac:dyDescent="0.25">
      <c r="D193" s="54" t="s">
        <v>212</v>
      </c>
    </row>
    <row r="194" spans="3:17" x14ac:dyDescent="0.25">
      <c r="D194" t="s">
        <v>194</v>
      </c>
      <c r="E194" s="62" t="str">
        <f>currency</f>
        <v>$'m</v>
      </c>
      <c r="L194">
        <f>K197</f>
        <v>207.89999999999998</v>
      </c>
      <c r="M194">
        <f t="shared" ref="M194:P194" si="98">L197</f>
        <v>220.52272727272725</v>
      </c>
      <c r="N194">
        <f t="shared" si="98"/>
        <v>234.62293388429748</v>
      </c>
      <c r="O194">
        <f t="shared" si="98"/>
        <v>249.62880353117953</v>
      </c>
      <c r="P194">
        <f t="shared" si="98"/>
        <v>265.0934198768299</v>
      </c>
      <c r="Q194" s="62" t="str">
        <f t="shared" ca="1" si="83"/>
        <v>=K197</v>
      </c>
    </row>
    <row r="195" spans="3:17" x14ac:dyDescent="0.25">
      <c r="D195" t="s">
        <v>195</v>
      </c>
      <c r="E195" s="62" t="str">
        <f>currency</f>
        <v>$'m</v>
      </c>
      <c r="L195">
        <f>L177</f>
        <v>52</v>
      </c>
      <c r="M195">
        <f t="shared" ref="M195:P195" si="99">M177</f>
        <v>52</v>
      </c>
      <c r="N195">
        <f t="shared" si="99"/>
        <v>52</v>
      </c>
      <c r="O195">
        <f t="shared" si="99"/>
        <v>52</v>
      </c>
      <c r="P195">
        <f t="shared" si="99"/>
        <v>52</v>
      </c>
      <c r="Q195" s="62" t="str">
        <f t="shared" ca="1" si="83"/>
        <v>=L177</v>
      </c>
    </row>
    <row r="196" spans="3:17" x14ac:dyDescent="0.25">
      <c r="D196" t="s">
        <v>213</v>
      </c>
      <c r="E196" s="62" t="str">
        <f>currency</f>
        <v>$'m</v>
      </c>
      <c r="L196">
        <f>L191+L180</f>
        <v>39.377272727272718</v>
      </c>
      <c r="M196">
        <f t="shared" ref="M196:P196" si="100">M191+M180</f>
        <v>37.899793388429757</v>
      </c>
      <c r="N196">
        <f t="shared" si="100"/>
        <v>36.994130353117953</v>
      </c>
      <c r="O196">
        <f t="shared" si="100"/>
        <v>36.535383654349651</v>
      </c>
      <c r="P196">
        <f t="shared" si="100"/>
        <v>36.422160645368379</v>
      </c>
      <c r="Q196" s="62" t="str">
        <f t="shared" ca="1" si="83"/>
        <v>=L191+L180</v>
      </c>
    </row>
    <row r="197" spans="3:17" ht="14.4" thickBot="1" x14ac:dyDescent="0.3">
      <c r="D197" s="54" t="s">
        <v>197</v>
      </c>
      <c r="E197" s="68" t="str">
        <f>currency</f>
        <v>$'m</v>
      </c>
      <c r="F197" s="54"/>
      <c r="G197" s="54"/>
      <c r="H197" s="54"/>
      <c r="I197" s="54"/>
      <c r="J197" s="54"/>
      <c r="K197" s="81">
        <f>K80</f>
        <v>207.89999999999998</v>
      </c>
      <c r="L197" s="79">
        <f>L194+L195-L196</f>
        <v>220.52272727272725</v>
      </c>
      <c r="M197" s="79">
        <f t="shared" ref="M197:P197" si="101">M194+M195-M196</f>
        <v>234.62293388429748</v>
      </c>
      <c r="N197" s="79">
        <f t="shared" si="101"/>
        <v>249.62880353117953</v>
      </c>
      <c r="O197" s="79">
        <f t="shared" si="101"/>
        <v>265.0934198768299</v>
      </c>
      <c r="P197" s="79">
        <f t="shared" si="101"/>
        <v>280.67125923146153</v>
      </c>
      <c r="Q197" s="62" t="str">
        <f t="shared" ca="1" si="83"/>
        <v>=L194+L195-L196</v>
      </c>
    </row>
    <row r="198" spans="3:17" ht="14.4" thickTop="1" x14ac:dyDescent="0.25"/>
    <row r="199" spans="3:17" x14ac:dyDescent="0.25">
      <c r="C199" s="60" t="s">
        <v>201</v>
      </c>
      <c r="D199" s="60"/>
      <c r="E199" s="63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</row>
    <row r="200" spans="3:17" x14ac:dyDescent="0.25">
      <c r="D200" t="str">
        <f>Inp!D93</f>
        <v>Company Tax Rate</v>
      </c>
      <c r="E200" s="62" t="str">
        <f>Inp!E93</f>
        <v>%age</v>
      </c>
      <c r="F200" s="70">
        <f>Inp!F93</f>
        <v>0.35</v>
      </c>
    </row>
    <row r="202" spans="3:17" x14ac:dyDescent="0.25">
      <c r="D202" t="s">
        <v>202</v>
      </c>
      <c r="E202" s="62" t="str">
        <f>currency</f>
        <v>$'m</v>
      </c>
      <c r="L202">
        <f>L21</f>
        <v>272.45274629509328</v>
      </c>
      <c r="M202">
        <f>M21</f>
        <v>313.11528169639013</v>
      </c>
      <c r="N202">
        <f>N21</f>
        <v>362.60105371633074</v>
      </c>
      <c r="O202">
        <f>O21</f>
        <v>381.10449578592687</v>
      </c>
      <c r="P202">
        <f>P21</f>
        <v>437.61390848071983</v>
      </c>
      <c r="Q202" s="62" t="str">
        <f t="shared" ca="1" si="83"/>
        <v>=L21</v>
      </c>
    </row>
    <row r="203" spans="3:17" x14ac:dyDescent="0.25">
      <c r="D203" t="str">
        <f>Inp!D94</f>
        <v>Increase in PBT due to timing difference</v>
      </c>
      <c r="E203" s="62" t="str">
        <f>Inp!E94</f>
        <v>$'m</v>
      </c>
      <c r="L203" s="58">
        <f>Inp!L94</f>
        <v>24</v>
      </c>
      <c r="M203" s="58">
        <f>Inp!M94</f>
        <v>24</v>
      </c>
      <c r="N203" s="58">
        <f>Inp!N94</f>
        <v>24</v>
      </c>
      <c r="O203" s="58">
        <f>Inp!O94</f>
        <v>24</v>
      </c>
      <c r="P203" s="58">
        <f>Inp!P94</f>
        <v>24</v>
      </c>
      <c r="Q203" s="62" t="str">
        <f t="shared" ca="1" si="83"/>
        <v>=Inp!L94</v>
      </c>
    </row>
    <row r="204" spans="3:17" x14ac:dyDescent="0.25">
      <c r="D204" t="s">
        <v>203</v>
      </c>
      <c r="E204" s="62" t="str">
        <f>currency</f>
        <v>$'m</v>
      </c>
      <c r="L204">
        <f>L202+L203</f>
        <v>296.45274629509328</v>
      </c>
      <c r="M204">
        <f t="shared" ref="M204:P204" si="102">M202+M203</f>
        <v>337.11528169639013</v>
      </c>
      <c r="N204">
        <f t="shared" si="102"/>
        <v>386.60105371633074</v>
      </c>
      <c r="O204">
        <f t="shared" si="102"/>
        <v>405.10449578592687</v>
      </c>
      <c r="P204">
        <f t="shared" si="102"/>
        <v>461.61390848071983</v>
      </c>
      <c r="Q204" s="62" t="str">
        <f t="shared" ca="1" si="83"/>
        <v>=L202+L203</v>
      </c>
    </row>
    <row r="205" spans="3:17" x14ac:dyDescent="0.25">
      <c r="D205" t="s">
        <v>204</v>
      </c>
      <c r="E205" s="62" t="str">
        <f>currency</f>
        <v>$'m</v>
      </c>
      <c r="L205">
        <f>L202*$F$200</f>
        <v>95.358461203282644</v>
      </c>
      <c r="M205">
        <f t="shared" ref="M205:P205" si="103">M202*$F$200</f>
        <v>109.59034859373654</v>
      </c>
      <c r="N205">
        <f t="shared" si="103"/>
        <v>126.91036880071574</v>
      </c>
      <c r="O205">
        <f t="shared" si="103"/>
        <v>133.3865735250744</v>
      </c>
      <c r="P205">
        <f t="shared" si="103"/>
        <v>153.16486796825194</v>
      </c>
      <c r="Q205" s="62" t="str">
        <f t="shared" ca="1" si="83"/>
        <v>=L202*$F$200</v>
      </c>
    </row>
    <row r="207" spans="3:17" x14ac:dyDescent="0.25">
      <c r="D207" t="s">
        <v>53</v>
      </c>
      <c r="E207" s="62" t="str">
        <f>currency</f>
        <v>$'m</v>
      </c>
      <c r="L207">
        <f>L204*$F$200</f>
        <v>103.75846120328264</v>
      </c>
      <c r="M207">
        <f t="shared" ref="M207:P207" si="104">M204*$F$200</f>
        <v>117.99034859373654</v>
      </c>
      <c r="N207">
        <f t="shared" si="104"/>
        <v>135.31036880071574</v>
      </c>
      <c r="O207">
        <f t="shared" si="104"/>
        <v>141.7865735250744</v>
      </c>
      <c r="P207">
        <f t="shared" si="104"/>
        <v>161.56486796825192</v>
      </c>
      <c r="Q207" s="62" t="str">
        <f t="shared" ref="Q207:Q269" ca="1" si="105">_xlfn.FORMULATEXT(L207)</f>
        <v>=L204*$F$200</v>
      </c>
    </row>
    <row r="208" spans="3:17" x14ac:dyDescent="0.25">
      <c r="D208" t="s">
        <v>45</v>
      </c>
      <c r="E208" s="62" t="str">
        <f>currency</f>
        <v>$'m</v>
      </c>
      <c r="L208">
        <f>L203*$F$200</f>
        <v>8.3999999999999986</v>
      </c>
      <c r="M208">
        <f t="shared" ref="M208:P208" si="106">M203*$F$200</f>
        <v>8.3999999999999986</v>
      </c>
      <c r="N208">
        <f t="shared" si="106"/>
        <v>8.3999999999999986</v>
      </c>
      <c r="O208">
        <f t="shared" si="106"/>
        <v>8.3999999999999986</v>
      </c>
      <c r="P208">
        <f t="shared" si="106"/>
        <v>8.3999999999999986</v>
      </c>
      <c r="Q208" s="62" t="str">
        <f t="shared" ca="1" si="105"/>
        <v>=L203*$F$200</v>
      </c>
    </row>
    <row r="209" spans="3:17" x14ac:dyDescent="0.25">
      <c r="D209" t="s">
        <v>204</v>
      </c>
      <c r="E209" s="62" t="str">
        <f>currency</f>
        <v>$'m</v>
      </c>
      <c r="L209">
        <f>L207-L208</f>
        <v>95.358461203282644</v>
      </c>
      <c r="M209">
        <f t="shared" ref="M209:P209" si="107">M207-M208</f>
        <v>109.59034859373654</v>
      </c>
      <c r="N209">
        <f t="shared" si="107"/>
        <v>126.91036880071573</v>
      </c>
      <c r="O209">
        <f t="shared" si="107"/>
        <v>133.3865735250744</v>
      </c>
      <c r="P209">
        <f t="shared" si="107"/>
        <v>153.16486796825191</v>
      </c>
      <c r="Q209" s="62" t="str">
        <f t="shared" ca="1" si="105"/>
        <v>=L207-L208</v>
      </c>
    </row>
    <row r="210" spans="3:17" x14ac:dyDescent="0.25">
      <c r="D210" t="s">
        <v>205</v>
      </c>
      <c r="E210" s="62" t="str">
        <f>currency</f>
        <v>$'m</v>
      </c>
      <c r="L210">
        <f>L209-L205</f>
        <v>0</v>
      </c>
      <c r="M210">
        <f t="shared" ref="M210:P210" si="108">M209-M205</f>
        <v>0</v>
      </c>
      <c r="N210">
        <f t="shared" si="108"/>
        <v>0</v>
      </c>
      <c r="O210">
        <f t="shared" si="108"/>
        <v>0</v>
      </c>
      <c r="P210">
        <f t="shared" si="108"/>
        <v>0</v>
      </c>
      <c r="Q210" s="62" t="str">
        <f t="shared" ca="1" si="105"/>
        <v>=L209-L205</v>
      </c>
    </row>
    <row r="212" spans="3:17" x14ac:dyDescent="0.25">
      <c r="C212" s="60" t="s">
        <v>206</v>
      </c>
      <c r="D212" s="60"/>
      <c r="E212" s="63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</row>
    <row r="213" spans="3:17" x14ac:dyDescent="0.25">
      <c r="C213" s="61" t="s">
        <v>207</v>
      </c>
    </row>
    <row r="214" spans="3:17" x14ac:dyDescent="0.25">
      <c r="D214" t="str">
        <f>D11</f>
        <v>Revenue</v>
      </c>
      <c r="E214" s="62" t="str">
        <f>E11</f>
        <v>$'m</v>
      </c>
      <c r="K214" s="58">
        <f t="shared" ref="K214:P215" si="109">K11</f>
        <v>3829.2</v>
      </c>
      <c r="L214" s="58">
        <f t="shared" si="109"/>
        <v>3981.41</v>
      </c>
      <c r="M214" s="58">
        <f t="shared" si="109"/>
        <v>4094.4926</v>
      </c>
      <c r="N214" s="58">
        <f t="shared" si="109"/>
        <v>4274.2186499999998</v>
      </c>
      <c r="O214" s="58">
        <f t="shared" si="109"/>
        <v>4395.82857762</v>
      </c>
      <c r="P214" s="58">
        <f t="shared" si="109"/>
        <v>4588.1923667403998</v>
      </c>
    </row>
    <row r="215" spans="3:17" x14ac:dyDescent="0.25">
      <c r="D215" t="str">
        <f>D12</f>
        <v>Cost of Sales</v>
      </c>
      <c r="E215" s="62" t="str">
        <f>E12</f>
        <v>$'m</v>
      </c>
      <c r="K215" s="58">
        <f t="shared" si="109"/>
        <v>2788.8</v>
      </c>
      <c r="L215" s="58">
        <f t="shared" si="109"/>
        <v>2879.2653809776339</v>
      </c>
      <c r="M215" s="58">
        <f t="shared" si="109"/>
        <v>2951.2470155020737</v>
      </c>
      <c r="N215" s="58">
        <f t="shared" si="109"/>
        <v>3054.913432534976</v>
      </c>
      <c r="O215" s="58">
        <f t="shared" si="109"/>
        <v>3131.2862683483504</v>
      </c>
      <c r="P215" s="58">
        <f t="shared" si="109"/>
        <v>3240.9666070607054</v>
      </c>
    </row>
    <row r="217" spans="3:17" x14ac:dyDescent="0.25">
      <c r="C217" s="61" t="s">
        <v>208</v>
      </c>
    </row>
    <row r="218" spans="3:17" x14ac:dyDescent="0.25">
      <c r="C218" s="61"/>
      <c r="D218" t="s">
        <v>108</v>
      </c>
      <c r="E218" s="62" t="s">
        <v>109</v>
      </c>
      <c r="K218" s="58">
        <f>Inp!K11</f>
        <v>366</v>
      </c>
      <c r="L218" s="58">
        <f>Inp!L11</f>
        <v>365</v>
      </c>
      <c r="M218" s="58">
        <f>Inp!M11</f>
        <v>365</v>
      </c>
      <c r="N218" s="58">
        <f>Inp!N11</f>
        <v>365</v>
      </c>
      <c r="O218" s="58">
        <f>Inp!O11</f>
        <v>366</v>
      </c>
      <c r="P218" s="58">
        <f>Inp!P11</f>
        <v>365</v>
      </c>
    </row>
    <row r="219" spans="3:17" x14ac:dyDescent="0.25">
      <c r="D219" t="str">
        <f>Inp!D86</f>
        <v>Accounts Receivable</v>
      </c>
      <c r="E219" s="62" t="str">
        <f>Inp!E86</f>
        <v>days</v>
      </c>
      <c r="K219" s="58">
        <f>Inp!K86</f>
        <v>29.477279849576934</v>
      </c>
      <c r="L219" s="58">
        <f>Inp!L86</f>
        <v>29.48</v>
      </c>
      <c r="M219" s="58">
        <f>Inp!M86</f>
        <v>29.48</v>
      </c>
      <c r="N219" s="58">
        <f>Inp!N86</f>
        <v>29.48</v>
      </c>
      <c r="O219" s="58">
        <f>Inp!O86</f>
        <v>29.48</v>
      </c>
      <c r="P219" s="58">
        <f>Inp!P86</f>
        <v>29.48</v>
      </c>
    </row>
    <row r="220" spans="3:17" x14ac:dyDescent="0.25">
      <c r="D220" t="str">
        <f>Inp!D87</f>
        <v>Inventory</v>
      </c>
      <c r="E220" s="62" t="str">
        <f>Inp!E87</f>
        <v>days</v>
      </c>
      <c r="K220" s="58">
        <f>Inp!K87</f>
        <v>90.016996557659198</v>
      </c>
      <c r="L220" s="58">
        <f>Inp!L87</f>
        <v>90.02</v>
      </c>
      <c r="M220" s="58">
        <f>Inp!M87</f>
        <v>90.02</v>
      </c>
      <c r="N220" s="58">
        <f>Inp!N87</f>
        <v>90.02</v>
      </c>
      <c r="O220" s="58">
        <f>Inp!O87</f>
        <v>90.02</v>
      </c>
      <c r="P220" s="58">
        <f>Inp!P87</f>
        <v>90.02</v>
      </c>
    </row>
    <row r="221" spans="3:17" x14ac:dyDescent="0.25">
      <c r="D221" t="str">
        <f>Inp!D88</f>
        <v>Other</v>
      </c>
      <c r="E221" s="62" t="str">
        <f>Inp!E88</f>
        <v>days</v>
      </c>
      <c r="K221" s="58">
        <f>Inp!K88</f>
        <v>8.5699225473321849</v>
      </c>
      <c r="L221" s="58">
        <f>Inp!L88</f>
        <v>8.57</v>
      </c>
      <c r="M221" s="58">
        <f>Inp!M88</f>
        <v>8.57</v>
      </c>
      <c r="N221" s="58">
        <f>Inp!N88</f>
        <v>8.57</v>
      </c>
      <c r="O221" s="58">
        <f>Inp!O88</f>
        <v>8.57</v>
      </c>
      <c r="P221" s="58">
        <f>Inp!P88</f>
        <v>8.57</v>
      </c>
    </row>
    <row r="222" spans="3:17" x14ac:dyDescent="0.25">
      <c r="D222" t="str">
        <f>Inp!D89</f>
        <v>Accounts Payable</v>
      </c>
      <c r="E222" s="62" t="str">
        <f>Inp!E89</f>
        <v>days</v>
      </c>
      <c r="K222" s="58">
        <f>Inp!K89</f>
        <v>85.344879518072275</v>
      </c>
      <c r="L222" s="58">
        <f>Inp!L89</f>
        <v>85.34</v>
      </c>
      <c r="M222" s="58">
        <f>Inp!M89</f>
        <v>85.34</v>
      </c>
      <c r="N222" s="58">
        <f>Inp!N89</f>
        <v>85.34</v>
      </c>
      <c r="O222" s="58">
        <f>Inp!O89</f>
        <v>85.34</v>
      </c>
      <c r="P222" s="58">
        <f>Inp!P89</f>
        <v>85.34</v>
      </c>
    </row>
    <row r="223" spans="3:17" x14ac:dyDescent="0.25">
      <c r="D223" t="str">
        <f>Inp!D90</f>
        <v xml:space="preserve">Other </v>
      </c>
      <c r="E223" s="62" t="str">
        <f>Inp!E90</f>
        <v>days</v>
      </c>
      <c r="K223" s="58">
        <f>Inp!K90</f>
        <v>34.935886402753873</v>
      </c>
      <c r="L223" s="58">
        <f>Inp!L90</f>
        <v>34.94</v>
      </c>
      <c r="M223" s="58">
        <f>Inp!M90</f>
        <v>34.94</v>
      </c>
      <c r="N223" s="58">
        <f>Inp!N90</f>
        <v>34.94</v>
      </c>
      <c r="O223" s="58">
        <f>Inp!O90</f>
        <v>34.94</v>
      </c>
      <c r="P223" s="58">
        <f>Inp!P90</f>
        <v>34.94</v>
      </c>
    </row>
    <row r="225" spans="3:17" x14ac:dyDescent="0.25">
      <c r="C225" s="61" t="s">
        <v>209</v>
      </c>
    </row>
    <row r="226" spans="3:17" x14ac:dyDescent="0.25">
      <c r="D226" t="str">
        <f>D219</f>
        <v>Accounts Receivable</v>
      </c>
      <c r="E226" s="62" t="str">
        <f t="shared" ref="E226:E234" si="110">currency</f>
        <v>$'m</v>
      </c>
      <c r="K226">
        <f t="shared" ref="K226" si="111">K219/K$218*K214</f>
        <v>308.39999999999998</v>
      </c>
      <c r="L226">
        <f>L219/L$218*L214</f>
        <v>321.56703232876708</v>
      </c>
      <c r="M226">
        <f t="shared" ref="M226:P226" si="112">M219/M$218*M214</f>
        <v>330.70038862465753</v>
      </c>
      <c r="N226">
        <f t="shared" si="112"/>
        <v>345.21634466301367</v>
      </c>
      <c r="O226">
        <f t="shared" si="112"/>
        <v>354.06837832851801</v>
      </c>
      <c r="P226">
        <f t="shared" si="112"/>
        <v>370.57509855207394</v>
      </c>
      <c r="Q226" s="62" t="str">
        <f t="shared" ca="1" si="105"/>
        <v>=L219/L$218*L214</v>
      </c>
    </row>
    <row r="227" spans="3:17" x14ac:dyDescent="0.25">
      <c r="D227" t="str">
        <f t="shared" ref="D227:D228" si="113">D220</f>
        <v>Inventory</v>
      </c>
      <c r="E227" s="62" t="str">
        <f t="shared" si="110"/>
        <v>$'m</v>
      </c>
      <c r="K227">
        <f t="shared" ref="K227" si="114">K220/K$218*K$215</f>
        <v>685.9</v>
      </c>
      <c r="L227">
        <f>L220/L$218*L$215</f>
        <v>710.11361533042896</v>
      </c>
      <c r="M227">
        <f t="shared" ref="M227:P227" si="115">M220/M$218*M$215</f>
        <v>727.86645571368945</v>
      </c>
      <c r="N227">
        <f t="shared" si="115"/>
        <v>753.43371834739321</v>
      </c>
      <c r="O227">
        <f t="shared" si="115"/>
        <v>770.15953518229105</v>
      </c>
      <c r="P227">
        <f t="shared" si="115"/>
        <v>799.32003826741004</v>
      </c>
      <c r="Q227" s="62" t="str">
        <f t="shared" ca="1" si="105"/>
        <v>=L220/L$218*L$215</v>
      </c>
    </row>
    <row r="228" spans="3:17" x14ac:dyDescent="0.25">
      <c r="D228" t="str">
        <f t="shared" si="113"/>
        <v>Other</v>
      </c>
      <c r="E228" s="62" t="str">
        <f t="shared" si="110"/>
        <v>$'m</v>
      </c>
      <c r="K228">
        <f t="shared" ref="K228" si="116">K221/K$218*K$215</f>
        <v>65.3</v>
      </c>
      <c r="L228">
        <f t="shared" ref="L228:P228" si="117">L221/L$218*L$215</f>
        <v>67.603573465694041</v>
      </c>
      <c r="M228">
        <f t="shared" si="117"/>
        <v>69.293662802336357</v>
      </c>
      <c r="N228">
        <f t="shared" si="117"/>
        <v>71.727693470752726</v>
      </c>
      <c r="O228">
        <f t="shared" si="117"/>
        <v>73.320009070342522</v>
      </c>
      <c r="P228">
        <f t="shared" si="117"/>
        <v>76.096120061671911</v>
      </c>
      <c r="Q228" s="62" t="str">
        <f t="shared" ca="1" si="105"/>
        <v>=L221/L$218*L$215</v>
      </c>
    </row>
    <row r="229" spans="3:17" s="54" customFormat="1" x14ac:dyDescent="0.25">
      <c r="D229" s="54" t="s">
        <v>210</v>
      </c>
      <c r="E229" s="68" t="str">
        <f t="shared" si="110"/>
        <v>$'m</v>
      </c>
      <c r="I229"/>
      <c r="J229"/>
      <c r="K229" s="80">
        <f t="shared" ref="K229" si="118">SUM(K226:K228)</f>
        <v>1059.5999999999999</v>
      </c>
      <c r="L229" s="80">
        <f>SUM(L226:L228)</f>
        <v>1099.2842211248901</v>
      </c>
      <c r="M229" s="80">
        <f t="shared" ref="M229:P229" si="119">SUM(M226:M228)</f>
        <v>1127.8605071406832</v>
      </c>
      <c r="N229" s="80">
        <f t="shared" si="119"/>
        <v>1170.3777564811596</v>
      </c>
      <c r="O229" s="80">
        <f t="shared" si="119"/>
        <v>1197.5479225811516</v>
      </c>
      <c r="P229" s="80">
        <f t="shared" si="119"/>
        <v>1245.9912568811558</v>
      </c>
      <c r="Q229" s="62" t="str">
        <f t="shared" ca="1" si="105"/>
        <v>=SUM(L226:L228)</v>
      </c>
    </row>
    <row r="230" spans="3:17" x14ac:dyDescent="0.25">
      <c r="D230" t="str">
        <f>D222</f>
        <v>Accounts Payable</v>
      </c>
      <c r="E230" s="62" t="str">
        <f t="shared" si="110"/>
        <v>$'m</v>
      </c>
      <c r="K230">
        <f t="shared" ref="K230" si="120">K222/K$218*K$215</f>
        <v>650.29999999999995</v>
      </c>
      <c r="L230">
        <f>L222/L$218*L$215</f>
        <v>673.19591126748298</v>
      </c>
      <c r="M230">
        <f>M222/M$218*M$215</f>
        <v>690.02580904916977</v>
      </c>
      <c r="N230">
        <f>N222/N$218*N$215</f>
        <v>714.26386940420514</v>
      </c>
      <c r="O230">
        <f>O222/O$218*O$215</f>
        <v>730.12013699685315</v>
      </c>
      <c r="P230">
        <f>P222/P$218*P$215</f>
        <v>757.76463081249483</v>
      </c>
      <c r="Q230" s="62" t="str">
        <f t="shared" ca="1" si="105"/>
        <v>=L222/L$218*L$215</v>
      </c>
    </row>
    <row r="231" spans="3:17" x14ac:dyDescent="0.25">
      <c r="D231" t="str">
        <f>D223</f>
        <v xml:space="preserve">Other </v>
      </c>
      <c r="E231" s="62" t="str">
        <f t="shared" si="110"/>
        <v>$'m</v>
      </c>
      <c r="K231">
        <f t="shared" ref="K231" si="121">K223/K$218*K$215</f>
        <v>266.20000000000005</v>
      </c>
      <c r="L231">
        <f>L223/L$218*L$215</f>
        <v>275.62063674344802</v>
      </c>
      <c r="M231">
        <f t="shared" ref="M231:P231" si="122">M223/M$218*M$215</f>
        <v>282.51115266203414</v>
      </c>
      <c r="N231">
        <f t="shared" si="122"/>
        <v>292.43472693910155</v>
      </c>
      <c r="O231">
        <f t="shared" si="122"/>
        <v>298.92661807675233</v>
      </c>
      <c r="P231">
        <f t="shared" si="122"/>
        <v>310.24485822109875</v>
      </c>
      <c r="Q231" s="62" t="str">
        <f t="shared" ca="1" si="105"/>
        <v>=L223/L$218*L$215</v>
      </c>
    </row>
    <row r="232" spans="3:17" x14ac:dyDescent="0.25">
      <c r="D232" s="54" t="str">
        <f>D223</f>
        <v xml:space="preserve">Other </v>
      </c>
      <c r="E232" s="68" t="str">
        <f t="shared" si="110"/>
        <v>$'m</v>
      </c>
      <c r="K232" s="80">
        <f t="shared" ref="K232" si="123">SUM(K230:K231)</f>
        <v>916.5</v>
      </c>
      <c r="L232" s="80">
        <f>SUM(L230:L231)</f>
        <v>948.816548010931</v>
      </c>
      <c r="M232" s="80">
        <f t="shared" ref="M232:P232" si="124">SUM(M230:M231)</f>
        <v>972.53696171120396</v>
      </c>
      <c r="N232" s="80">
        <f t="shared" si="124"/>
        <v>1006.6985963433067</v>
      </c>
      <c r="O232" s="80">
        <f t="shared" si="124"/>
        <v>1029.0467550736055</v>
      </c>
      <c r="P232" s="80">
        <f t="shared" si="124"/>
        <v>1068.0094890335936</v>
      </c>
      <c r="Q232" s="62" t="str">
        <f t="shared" ca="1" si="105"/>
        <v>=SUM(L230:L231)</v>
      </c>
    </row>
    <row r="233" spans="3:17" s="54" customFormat="1" x14ac:dyDescent="0.25">
      <c r="D233" s="54" t="s">
        <v>216</v>
      </c>
      <c r="E233" s="68" t="str">
        <f t="shared" si="110"/>
        <v>$'m</v>
      </c>
      <c r="I233"/>
      <c r="J233"/>
      <c r="K233" s="54">
        <f>K229-K232</f>
        <v>143.09999999999991</v>
      </c>
      <c r="L233" s="54">
        <f t="shared" ref="L233:P233" si="125">L229-L232</f>
        <v>150.46767311395911</v>
      </c>
      <c r="M233" s="54">
        <f t="shared" si="125"/>
        <v>155.32354542947928</v>
      </c>
      <c r="N233" s="54">
        <f t="shared" si="125"/>
        <v>163.67916013785293</v>
      </c>
      <c r="O233" s="54">
        <f t="shared" si="125"/>
        <v>168.50116750754614</v>
      </c>
      <c r="P233" s="54">
        <f t="shared" si="125"/>
        <v>177.9817678475622</v>
      </c>
      <c r="Q233" s="62" t="str">
        <f t="shared" ca="1" si="105"/>
        <v>=L229-L232</v>
      </c>
    </row>
    <row r="234" spans="3:17" x14ac:dyDescent="0.25">
      <c r="D234" t="s">
        <v>217</v>
      </c>
      <c r="E234" s="62" t="str">
        <f t="shared" si="110"/>
        <v>$'m</v>
      </c>
      <c r="L234">
        <f>K233-L233</f>
        <v>-7.3676731139591993</v>
      </c>
      <c r="M234">
        <f>L233-M233</f>
        <v>-4.8558723155201733</v>
      </c>
      <c r="N234">
        <f t="shared" ref="N234:P234" si="126">M233-N233</f>
        <v>-8.3556147083736505</v>
      </c>
      <c r="O234">
        <f t="shared" si="126"/>
        <v>-4.8220073696932104</v>
      </c>
      <c r="P234">
        <f t="shared" si="126"/>
        <v>-9.4806003400160535</v>
      </c>
      <c r="Q234" s="62" t="str">
        <f t="shared" ca="1" si="105"/>
        <v>=K233-L233</v>
      </c>
    </row>
    <row r="236" spans="3:17" x14ac:dyDescent="0.25">
      <c r="C236" s="60" t="s">
        <v>218</v>
      </c>
      <c r="D236" s="60"/>
      <c r="E236" s="63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</row>
    <row r="237" spans="3:17" x14ac:dyDescent="0.25">
      <c r="C237" s="61" t="s">
        <v>153</v>
      </c>
    </row>
    <row r="238" spans="3:17" x14ac:dyDescent="0.25">
      <c r="D238" t="str">
        <f>Inp!D99</f>
        <v>Interest on revolver</v>
      </c>
      <c r="E238" s="62" t="str">
        <f>Inp!E99</f>
        <v>%age</v>
      </c>
      <c r="F238" s="84">
        <f>Inp!F99</f>
        <v>6.5000000000000002E-2</v>
      </c>
    </row>
    <row r="239" spans="3:17" x14ac:dyDescent="0.25">
      <c r="D239" t="str">
        <f>Inp!D100</f>
        <v>Interest on excess cash</v>
      </c>
      <c r="E239" s="62" t="str">
        <f>Inp!E100</f>
        <v>%age</v>
      </c>
      <c r="F239" s="84">
        <f>Inp!F100</f>
        <v>2.5000000000000001E-2</v>
      </c>
    </row>
    <row r="241" spans="3:17" x14ac:dyDescent="0.25">
      <c r="C241" s="61" t="str">
        <f>D94</f>
        <v>Fixed Rate Long Term Debt</v>
      </c>
    </row>
    <row r="242" spans="3:17" x14ac:dyDescent="0.25">
      <c r="D242" t="str">
        <f>Inp!D98</f>
        <v>Interest on fixed rate debt</v>
      </c>
      <c r="E242" s="62" t="str">
        <f>Inp!E98</f>
        <v>%age</v>
      </c>
      <c r="F242" s="84">
        <f>Inp!F98</f>
        <v>6.5500000000000003E-2</v>
      </c>
    </row>
    <row r="243" spans="3:17" x14ac:dyDescent="0.25">
      <c r="D243" t="str">
        <f>Inp!D114</f>
        <v>Fixed Rate term debt repayment</v>
      </c>
      <c r="E243" s="62" t="str">
        <f>currency</f>
        <v>$'m</v>
      </c>
      <c r="L243" s="58">
        <f>Inp!L114</f>
        <v>180</v>
      </c>
      <c r="M243" s="58">
        <f>Inp!M114</f>
        <v>180</v>
      </c>
      <c r="N243" s="58">
        <f>Inp!N114</f>
        <v>180</v>
      </c>
      <c r="O243" s="58">
        <f>Inp!O114</f>
        <v>180</v>
      </c>
      <c r="P243" s="58">
        <f>Inp!P114</f>
        <v>180</v>
      </c>
    </row>
    <row r="245" spans="3:17" x14ac:dyDescent="0.25">
      <c r="D245" t="s">
        <v>194</v>
      </c>
      <c r="E245" s="62" t="str">
        <f>currency</f>
        <v>$'m</v>
      </c>
      <c r="L245">
        <f>K247</f>
        <v>896.59999999999991</v>
      </c>
      <c r="M245">
        <f t="shared" ref="M245:P245" si="127">L247</f>
        <v>716.59999999999991</v>
      </c>
      <c r="N245">
        <f t="shared" si="127"/>
        <v>536.59999999999991</v>
      </c>
      <c r="O245">
        <f t="shared" si="127"/>
        <v>356.59999999999991</v>
      </c>
      <c r="P245">
        <f t="shared" si="127"/>
        <v>176.59999999999991</v>
      </c>
      <c r="Q245" s="62" t="str">
        <f t="shared" ca="1" si="105"/>
        <v>=K247</v>
      </c>
    </row>
    <row r="246" spans="3:17" x14ac:dyDescent="0.25">
      <c r="D246" t="s">
        <v>219</v>
      </c>
      <c r="E246" s="62" t="str">
        <f>currency</f>
        <v>$'m</v>
      </c>
      <c r="L246">
        <f>MIN(L243,L245)</f>
        <v>180</v>
      </c>
      <c r="M246">
        <f t="shared" ref="M246:P246" si="128">MIN(M243,M245)</f>
        <v>180</v>
      </c>
      <c r="N246">
        <f t="shared" si="128"/>
        <v>180</v>
      </c>
      <c r="O246">
        <f t="shared" si="128"/>
        <v>180</v>
      </c>
      <c r="P246">
        <f t="shared" si="128"/>
        <v>176.59999999999991</v>
      </c>
      <c r="Q246" s="62" t="str">
        <f t="shared" ca="1" si="105"/>
        <v>=MIN(L243,L245)</v>
      </c>
    </row>
    <row r="247" spans="3:17" ht="14.4" thickBot="1" x14ac:dyDescent="0.3">
      <c r="D247" t="s">
        <v>197</v>
      </c>
      <c r="E247" s="62" t="str">
        <f>currency</f>
        <v>$'m</v>
      </c>
      <c r="K247" s="58">
        <f>K94</f>
        <v>896.59999999999991</v>
      </c>
      <c r="L247" s="79">
        <f>L245-L246</f>
        <v>716.59999999999991</v>
      </c>
      <c r="M247" s="79">
        <f t="shared" ref="M247:P247" si="129">M245-M246</f>
        <v>536.59999999999991</v>
      </c>
      <c r="N247" s="79">
        <f t="shared" si="129"/>
        <v>356.59999999999991</v>
      </c>
      <c r="O247" s="79">
        <f t="shared" si="129"/>
        <v>176.59999999999991</v>
      </c>
      <c r="P247" s="79">
        <f t="shared" si="129"/>
        <v>0</v>
      </c>
      <c r="Q247" s="62" t="str">
        <f t="shared" ca="1" si="105"/>
        <v>=L245-L246</v>
      </c>
    </row>
    <row r="248" spans="3:17" ht="14.4" thickTop="1" x14ac:dyDescent="0.25"/>
    <row r="249" spans="3:17" s="54" customFormat="1" ht="12.7" x14ac:dyDescent="0.25">
      <c r="D249" s="54" t="s">
        <v>242</v>
      </c>
      <c r="E249" s="68" t="str">
        <f>currency</f>
        <v>$'m</v>
      </c>
      <c r="I249" s="62" t="str">
        <f ca="1">_xlfn.FORMULATEXT(L249)</f>
        <v>=AVERAGE(K247:L247)*$F$242</v>
      </c>
      <c r="L249" s="54">
        <f>AVERAGE(K247:L247)*$F$242</f>
        <v>52.832299999999996</v>
      </c>
      <c r="M249" s="54">
        <f t="shared" ref="M249:P249" si="130">AVERAGE(L247:M247)*$F$242</f>
        <v>41.042299999999997</v>
      </c>
      <c r="N249" s="54">
        <f t="shared" si="130"/>
        <v>29.252299999999995</v>
      </c>
      <c r="O249" s="54">
        <f t="shared" si="130"/>
        <v>17.462299999999995</v>
      </c>
      <c r="P249" s="54">
        <f t="shared" si="130"/>
        <v>5.7836499999999971</v>
      </c>
    </row>
    <row r="251" spans="3:17" x14ac:dyDescent="0.25">
      <c r="C251" s="61" t="str">
        <f>D93</f>
        <v>Variable Rate Long Term Debt</v>
      </c>
    </row>
    <row r="252" spans="3:17" x14ac:dyDescent="0.25">
      <c r="C252" s="61"/>
      <c r="D252" t="str">
        <f>Inp!D115</f>
        <v>Variable Rate term debt repayment</v>
      </c>
      <c r="E252" s="62" t="str">
        <f>currency</f>
        <v>$'m</v>
      </c>
      <c r="L252" s="58">
        <f>Inp!L115</f>
        <v>35</v>
      </c>
      <c r="M252" s="58">
        <f>Inp!M115</f>
        <v>35</v>
      </c>
      <c r="N252" s="58">
        <f>Inp!N115</f>
        <v>35</v>
      </c>
      <c r="O252" s="58">
        <f>Inp!O115</f>
        <v>35</v>
      </c>
      <c r="P252" s="58">
        <f>Inp!P115</f>
        <v>35</v>
      </c>
    </row>
    <row r="253" spans="3:17" x14ac:dyDescent="0.25">
      <c r="D253" t="str">
        <f>Inp!D101</f>
        <v>Variable rate debt SOFR</v>
      </c>
      <c r="E253" s="62" t="s">
        <v>90</v>
      </c>
      <c r="F253" s="84">
        <f>Inp!F101</f>
        <v>5.1999999999999998E-2</v>
      </c>
      <c r="L253" s="56">
        <f>$F$253</f>
        <v>5.1999999999999998E-2</v>
      </c>
      <c r="M253" s="56">
        <f t="shared" ref="M253:P253" si="131">$F$253</f>
        <v>5.1999999999999998E-2</v>
      </c>
      <c r="N253" s="56">
        <f t="shared" si="131"/>
        <v>5.1999999999999998E-2</v>
      </c>
      <c r="O253" s="56">
        <f t="shared" si="131"/>
        <v>5.1999999999999998E-2</v>
      </c>
      <c r="P253" s="56">
        <f t="shared" si="131"/>
        <v>5.1999999999999998E-2</v>
      </c>
      <c r="Q253" s="62" t="str">
        <f t="shared" ca="1" si="105"/>
        <v>=$F$253</v>
      </c>
    </row>
    <row r="254" spans="3:17" x14ac:dyDescent="0.25">
      <c r="D254" t="s">
        <v>158</v>
      </c>
      <c r="E254" s="62" t="s">
        <v>90</v>
      </c>
      <c r="L254" s="56">
        <f>L281</f>
        <v>2.5000000000000001E-2</v>
      </c>
      <c r="M254" s="56">
        <f t="shared" ref="M254:P254" si="132">M281</f>
        <v>1.4999999999999999E-2</v>
      </c>
      <c r="N254" s="56">
        <f t="shared" si="132"/>
        <v>1.4999999999999999E-2</v>
      </c>
      <c r="O254" s="56">
        <f t="shared" si="132"/>
        <v>1.4999999999999999E-2</v>
      </c>
      <c r="P254" s="56">
        <f t="shared" si="132"/>
        <v>1.4999999999999999E-2</v>
      </c>
      <c r="Q254" s="62" t="str">
        <f t="shared" ca="1" si="105"/>
        <v>=L281</v>
      </c>
    </row>
    <row r="255" spans="3:17" x14ac:dyDescent="0.25">
      <c r="D255" t="s">
        <v>220</v>
      </c>
      <c r="E255" s="62" t="s">
        <v>90</v>
      </c>
      <c r="L255" s="56">
        <f>SUM(L253:L254)</f>
        <v>7.6999999999999999E-2</v>
      </c>
      <c r="M255" s="56">
        <f t="shared" ref="M255:P255" si="133">SUM(M253:M254)</f>
        <v>6.7000000000000004E-2</v>
      </c>
      <c r="N255" s="56">
        <f t="shared" si="133"/>
        <v>6.7000000000000004E-2</v>
      </c>
      <c r="O255" s="56">
        <f t="shared" si="133"/>
        <v>6.7000000000000004E-2</v>
      </c>
      <c r="P255" s="56">
        <f t="shared" si="133"/>
        <v>6.7000000000000004E-2</v>
      </c>
      <c r="Q255" s="62" t="str">
        <f t="shared" ca="1" si="105"/>
        <v>=SUM(L253:L254)</v>
      </c>
    </row>
    <row r="257" spans="4:17" x14ac:dyDescent="0.25">
      <c r="D257" t="s">
        <v>194</v>
      </c>
      <c r="E257" s="62" t="str">
        <f>currency</f>
        <v>$'m</v>
      </c>
      <c r="L257">
        <f>K259</f>
        <v>250</v>
      </c>
      <c r="M257">
        <f t="shared" ref="M257:P257" si="134">L259</f>
        <v>215</v>
      </c>
      <c r="N257">
        <f t="shared" si="134"/>
        <v>180</v>
      </c>
      <c r="O257">
        <f t="shared" si="134"/>
        <v>145</v>
      </c>
      <c r="P257">
        <f t="shared" si="134"/>
        <v>110</v>
      </c>
      <c r="Q257" s="62" t="str">
        <f t="shared" ca="1" si="105"/>
        <v>=K259</v>
      </c>
    </row>
    <row r="258" spans="4:17" x14ac:dyDescent="0.25">
      <c r="D258" t="s">
        <v>219</v>
      </c>
      <c r="E258" s="62" t="str">
        <f>currency</f>
        <v>$'m</v>
      </c>
      <c r="L258">
        <f>MIN(L257,L252)</f>
        <v>35</v>
      </c>
      <c r="M258">
        <f t="shared" ref="M258:P258" si="135">MIN(M257,M252)</f>
        <v>35</v>
      </c>
      <c r="N258">
        <f t="shared" si="135"/>
        <v>35</v>
      </c>
      <c r="O258">
        <f t="shared" si="135"/>
        <v>35</v>
      </c>
      <c r="P258">
        <f t="shared" si="135"/>
        <v>35</v>
      </c>
      <c r="Q258" s="62" t="str">
        <f t="shared" ca="1" si="105"/>
        <v>=MIN(L257,L252)</v>
      </c>
    </row>
    <row r="259" spans="4:17" ht="14.4" thickBot="1" x14ac:dyDescent="0.3">
      <c r="D259" t="s">
        <v>197</v>
      </c>
      <c r="E259" s="62" t="str">
        <f>currency</f>
        <v>$'m</v>
      </c>
      <c r="K259" s="58">
        <f>K93</f>
        <v>250</v>
      </c>
      <c r="L259" s="79">
        <f>L257-L258</f>
        <v>215</v>
      </c>
      <c r="M259" s="79">
        <f t="shared" ref="M259:P259" si="136">M257-M258</f>
        <v>180</v>
      </c>
      <c r="N259" s="79">
        <f t="shared" si="136"/>
        <v>145</v>
      </c>
      <c r="O259" s="79">
        <f t="shared" si="136"/>
        <v>110</v>
      </c>
      <c r="P259" s="79">
        <f t="shared" si="136"/>
        <v>75</v>
      </c>
      <c r="Q259" s="62" t="str">
        <f t="shared" ca="1" si="105"/>
        <v>=L257-L258</v>
      </c>
    </row>
    <row r="260" spans="4:17" ht="14.4" thickTop="1" x14ac:dyDescent="0.25"/>
    <row r="261" spans="4:17" s="54" customFormat="1" ht="12.7" x14ac:dyDescent="0.25">
      <c r="D261" s="54" t="s">
        <v>241</v>
      </c>
      <c r="E261" s="68" t="str">
        <f>currency</f>
        <v>$'m</v>
      </c>
      <c r="I261" s="62" t="str">
        <f ca="1">_xlfn.FORMULATEXT(L261)</f>
        <v>=AVERAGE(K259:L259)*L255</v>
      </c>
      <c r="L261" s="54">
        <f>AVERAGE(K259:L259)*L255</f>
        <v>17.9025</v>
      </c>
      <c r="M261" s="54">
        <f t="shared" ref="M261:P261" si="137">AVERAGE(L259:M259)*M255</f>
        <v>13.2325</v>
      </c>
      <c r="N261" s="54">
        <f t="shared" si="137"/>
        <v>10.887500000000001</v>
      </c>
      <c r="O261" s="54">
        <f t="shared" si="137"/>
        <v>8.5425000000000004</v>
      </c>
      <c r="P261" s="54">
        <f t="shared" si="137"/>
        <v>6.1975000000000007</v>
      </c>
    </row>
    <row r="263" spans="4:17" x14ac:dyDescent="0.25">
      <c r="D263" s="86" t="s">
        <v>222</v>
      </c>
    </row>
    <row r="264" spans="4:17" x14ac:dyDescent="0.25">
      <c r="D264" t="str">
        <f>D93</f>
        <v>Variable Rate Long Term Debt</v>
      </c>
      <c r="E264" s="62" t="str">
        <f>currency</f>
        <v>$'m</v>
      </c>
      <c r="K264">
        <f t="shared" ref="K264:P265" si="138">K93</f>
        <v>250</v>
      </c>
      <c r="L264">
        <f t="shared" si="138"/>
        <v>215</v>
      </c>
      <c r="M264">
        <f t="shared" si="138"/>
        <v>180</v>
      </c>
      <c r="N264">
        <f t="shared" si="138"/>
        <v>145</v>
      </c>
      <c r="O264">
        <f t="shared" si="138"/>
        <v>110</v>
      </c>
      <c r="P264">
        <f t="shared" si="138"/>
        <v>75</v>
      </c>
      <c r="Q264" s="62" t="str">
        <f t="shared" ca="1" si="105"/>
        <v>=L93</v>
      </c>
    </row>
    <row r="265" spans="4:17" x14ac:dyDescent="0.25">
      <c r="D265" t="str">
        <f>D94</f>
        <v>Fixed Rate Long Term Debt</v>
      </c>
      <c r="E265" s="62" t="str">
        <f>currency</f>
        <v>$'m</v>
      </c>
      <c r="K265">
        <f t="shared" si="138"/>
        <v>896.59999999999991</v>
      </c>
      <c r="L265">
        <f t="shared" si="138"/>
        <v>716.59999999999991</v>
      </c>
      <c r="M265">
        <f t="shared" si="138"/>
        <v>536.59999999999991</v>
      </c>
      <c r="N265">
        <f t="shared" si="138"/>
        <v>356.59999999999991</v>
      </c>
      <c r="O265">
        <f t="shared" si="138"/>
        <v>176.59999999999991</v>
      </c>
      <c r="P265">
        <f t="shared" si="138"/>
        <v>0</v>
      </c>
      <c r="Q265" s="62" t="str">
        <f t="shared" ca="1" si="105"/>
        <v>=L94</v>
      </c>
    </row>
    <row r="266" spans="4:17" x14ac:dyDescent="0.25">
      <c r="D266" t="str">
        <f>D88</f>
        <v>Bank Debt - Revolver</v>
      </c>
      <c r="E266" s="62" t="str">
        <f>currency</f>
        <v>$'m</v>
      </c>
      <c r="K266">
        <f t="shared" ref="K266:P266" si="139">K88</f>
        <v>400</v>
      </c>
      <c r="L266">
        <f t="shared" si="139"/>
        <v>0</v>
      </c>
      <c r="M266">
        <f t="shared" si="139"/>
        <v>222.02702219154202</v>
      </c>
      <c r="N266">
        <f t="shared" si="139"/>
        <v>470.40197885105454</v>
      </c>
      <c r="O266">
        <f t="shared" si="139"/>
        <v>701.92620109796371</v>
      </c>
      <c r="P266">
        <f t="shared" si="139"/>
        <v>904.58588130876933</v>
      </c>
      <c r="Q266" s="62" t="str">
        <f t="shared" ca="1" si="105"/>
        <v>=L88</v>
      </c>
    </row>
    <row r="267" spans="4:17" s="54" customFormat="1" ht="13.25" thickBot="1" x14ac:dyDescent="0.3">
      <c r="D267" s="54" t="s">
        <v>221</v>
      </c>
      <c r="E267" s="68" t="str">
        <f>currency</f>
        <v>$'m</v>
      </c>
      <c r="K267" s="79">
        <f>SUM(K264:K266)</f>
        <v>1546.6</v>
      </c>
      <c r="L267" s="79">
        <f t="shared" ref="L267:P267" si="140">SUM(L264:L266)</f>
        <v>931.59999999999991</v>
      </c>
      <c r="M267" s="79">
        <f t="shared" si="140"/>
        <v>938.62702219154198</v>
      </c>
      <c r="N267" s="79">
        <f t="shared" si="140"/>
        <v>972.00197885105445</v>
      </c>
      <c r="O267" s="79">
        <f t="shared" si="140"/>
        <v>988.52620109796362</v>
      </c>
      <c r="P267" s="79">
        <f t="shared" si="140"/>
        <v>979.58588130876933</v>
      </c>
      <c r="Q267" s="62" t="str">
        <f t="shared" ca="1" si="105"/>
        <v>=SUM(L264:L266)</v>
      </c>
    </row>
    <row r="268" spans="4:17" ht="14.4" thickTop="1" x14ac:dyDescent="0.25"/>
    <row r="269" spans="4:17" x14ac:dyDescent="0.25">
      <c r="D269" t="str">
        <f>D16</f>
        <v>EBITDA</v>
      </c>
      <c r="E269" s="62" t="str">
        <f>currency</f>
        <v>$'m</v>
      </c>
      <c r="K269">
        <f t="shared" ref="K269:P269" si="141">K16</f>
        <v>465.49999999999955</v>
      </c>
      <c r="L269">
        <f t="shared" si="141"/>
        <v>467.14461902236599</v>
      </c>
      <c r="M269">
        <f t="shared" si="141"/>
        <v>492.3705844979263</v>
      </c>
      <c r="N269">
        <f t="shared" si="141"/>
        <v>552.15834246502391</v>
      </c>
      <c r="O269">
        <f t="shared" si="141"/>
        <v>580.71676239664976</v>
      </c>
      <c r="P269">
        <f t="shared" si="141"/>
        <v>646.30457413281965</v>
      </c>
      <c r="Q269" s="62" t="str">
        <f t="shared" ca="1" si="105"/>
        <v>=L16</v>
      </c>
    </row>
    <row r="271" spans="4:17" x14ac:dyDescent="0.25">
      <c r="D271" t="s">
        <v>223</v>
      </c>
      <c r="E271" s="62" t="s">
        <v>224</v>
      </c>
      <c r="K271" s="57">
        <f>K267/K269</f>
        <v>3.3224489795918397</v>
      </c>
      <c r="L271" s="57">
        <f t="shared" ref="L271:P271" si="142">L267/L269</f>
        <v>1.9942432430231989</v>
      </c>
      <c r="M271" s="57">
        <f t="shared" si="142"/>
        <v>1.9063426040137359</v>
      </c>
      <c r="N271" s="57">
        <f t="shared" si="142"/>
        <v>1.7603681844445287</v>
      </c>
      <c r="O271" s="57">
        <f t="shared" si="142"/>
        <v>1.7022518809656226</v>
      </c>
      <c r="P271" s="57">
        <f t="shared" si="142"/>
        <v>1.5156722086071115</v>
      </c>
      <c r="Q271" s="62" t="str">
        <f t="shared" ref="Q271:Q334" ca="1" si="143">_xlfn.FORMULATEXT(L271)</f>
        <v>=L267/L269</v>
      </c>
    </row>
    <row r="273" spans="4:16" x14ac:dyDescent="0.25">
      <c r="D273" t="str">
        <f>Inp!D104</f>
        <v>If Total Debt / EBITDA &gt;=</v>
      </c>
      <c r="E273"/>
      <c r="F273" t="str">
        <f>Inp!F104</f>
        <v>Spread to SOFR</v>
      </c>
    </row>
    <row r="274" spans="4:16" x14ac:dyDescent="0.25">
      <c r="D274" s="87">
        <f>Inp!D105</f>
        <v>0</v>
      </c>
      <c r="E274"/>
      <c r="F274" s="70">
        <f>Inp!F105</f>
        <v>0.01</v>
      </c>
    </row>
    <row r="275" spans="4:16" x14ac:dyDescent="0.25">
      <c r="D275" s="87">
        <f>Inp!D106</f>
        <v>1</v>
      </c>
      <c r="E275"/>
      <c r="F275" s="70">
        <f>Inp!F106</f>
        <v>1.4999999999999999E-2</v>
      </c>
    </row>
    <row r="276" spans="4:16" x14ac:dyDescent="0.25">
      <c r="D276" s="87">
        <f>Inp!D107</f>
        <v>2</v>
      </c>
      <c r="E276"/>
      <c r="F276" s="70">
        <f>Inp!F107</f>
        <v>0.02</v>
      </c>
    </row>
    <row r="277" spans="4:16" x14ac:dyDescent="0.25">
      <c r="D277" s="87">
        <f>Inp!D108</f>
        <v>3</v>
      </c>
      <c r="E277"/>
      <c r="F277" s="70">
        <f>Inp!F108</f>
        <v>2.5000000000000001E-2</v>
      </c>
    </row>
    <row r="278" spans="4:16" x14ac:dyDescent="0.25">
      <c r="D278" s="87">
        <f>Inp!D109</f>
        <v>4</v>
      </c>
      <c r="E278"/>
      <c r="F278" s="70">
        <f>Inp!F109</f>
        <v>2.75E-2</v>
      </c>
    </row>
    <row r="279" spans="4:16" x14ac:dyDescent="0.25">
      <c r="D279" s="87">
        <f>Inp!D110</f>
        <v>4.5</v>
      </c>
      <c r="E279"/>
      <c r="F279" s="70">
        <f>Inp!F110</f>
        <v>0.03</v>
      </c>
    </row>
    <row r="281" spans="4:16" x14ac:dyDescent="0.25">
      <c r="D281" s="165" t="str">
        <f ca="1">_xlfn.FORMULATEXT(L281)</f>
        <v>=INDEX($F$274:$F$279,MATCH(K271,$D$274:$D$279,1))</v>
      </c>
      <c r="E281" s="88" t="s">
        <v>90</v>
      </c>
      <c r="F281" s="89" t="s">
        <v>160</v>
      </c>
      <c r="G281" s="89"/>
      <c r="H281" s="89"/>
      <c r="I281" s="89" t="s">
        <v>229</v>
      </c>
      <c r="J281" s="89"/>
      <c r="K281" s="89"/>
      <c r="L281" s="90">
        <f>INDEX($F$274:$F$279,MATCH(K271,$D$274:$D$279,1))</f>
        <v>2.5000000000000001E-2</v>
      </c>
      <c r="M281" s="90">
        <f t="shared" ref="M281:P281" si="144">INDEX($F$274:$F$279,MATCH(L271,$D$274:$D$279,1))</f>
        <v>1.4999999999999999E-2</v>
      </c>
      <c r="N281" s="90">
        <f t="shared" si="144"/>
        <v>1.4999999999999999E-2</v>
      </c>
      <c r="O281" s="90">
        <f t="shared" si="144"/>
        <v>1.4999999999999999E-2</v>
      </c>
      <c r="P281" s="91">
        <f t="shared" si="144"/>
        <v>1.4999999999999999E-2</v>
      </c>
    </row>
    <row r="282" spans="4:16" x14ac:dyDescent="0.25">
      <c r="D282" s="166"/>
      <c r="E282" s="92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4"/>
    </row>
    <row r="283" spans="4:16" x14ac:dyDescent="0.25">
      <c r="D283" s="166" t="str">
        <f ca="1">_xlfn.FORMULATEXT(L283)</f>
        <v>=XLOOKUP(K271,$D$274:$D$279,$F$274:$F$279,,-1)</v>
      </c>
      <c r="E283" s="92" t="s">
        <v>90</v>
      </c>
      <c r="F283" s="93" t="s">
        <v>160</v>
      </c>
      <c r="G283" s="93"/>
      <c r="H283" s="93"/>
      <c r="I283" s="93" t="s">
        <v>225</v>
      </c>
      <c r="J283" s="93"/>
      <c r="K283" s="93"/>
      <c r="L283" s="95">
        <f>_xlfn.XLOOKUP(K271,$D$274:$D$279,$F$274:$F$279,,-1)</f>
        <v>2.5000000000000001E-2</v>
      </c>
      <c r="M283" s="95">
        <f t="shared" ref="M283:P283" si="145">_xlfn.XLOOKUP(L271,$D$274:$D$279,$F$274:$F$279,,-1)</f>
        <v>1.4999999999999999E-2</v>
      </c>
      <c r="N283" s="95">
        <f t="shared" si="145"/>
        <v>1.4999999999999999E-2</v>
      </c>
      <c r="O283" s="95">
        <f t="shared" si="145"/>
        <v>1.4999999999999999E-2</v>
      </c>
      <c r="P283" s="96">
        <f t="shared" si="145"/>
        <v>1.4999999999999999E-2</v>
      </c>
    </row>
    <row r="284" spans="4:16" x14ac:dyDescent="0.25">
      <c r="D284" s="166"/>
      <c r="E284" s="92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4"/>
    </row>
    <row r="285" spans="4:16" x14ac:dyDescent="0.25">
      <c r="D285" s="166" t="str">
        <f ca="1">_xlfn.FORMULATEXT(L285)</f>
        <v>=VLOOKUP(K271,$D$274:$F$279,3,1)</v>
      </c>
      <c r="E285" s="92" t="s">
        <v>90</v>
      </c>
      <c r="F285" s="93" t="s">
        <v>160</v>
      </c>
      <c r="G285" s="93"/>
      <c r="H285" s="93"/>
      <c r="I285" s="93" t="s">
        <v>226</v>
      </c>
      <c r="J285" s="93"/>
      <c r="K285" s="93"/>
      <c r="L285" s="95">
        <f>VLOOKUP(K271,$D$274:$F$279,3,1)</f>
        <v>2.5000000000000001E-2</v>
      </c>
      <c r="M285" s="95">
        <f t="shared" ref="M285:P285" si="146">VLOOKUP(L271,$D$274:$F$279,3,1)</f>
        <v>1.4999999999999999E-2</v>
      </c>
      <c r="N285" s="95">
        <f t="shared" si="146"/>
        <v>1.4999999999999999E-2</v>
      </c>
      <c r="O285" s="95">
        <f t="shared" si="146"/>
        <v>1.4999999999999999E-2</v>
      </c>
      <c r="P285" s="96">
        <f t="shared" si="146"/>
        <v>1.4999999999999999E-2</v>
      </c>
    </row>
    <row r="286" spans="4:16" x14ac:dyDescent="0.25">
      <c r="D286" s="166"/>
      <c r="E286" s="92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4"/>
    </row>
    <row r="287" spans="4:16" x14ac:dyDescent="0.25">
      <c r="D287" s="166" t="str">
        <f ca="1">_xlfn.FORMULATEXT(L287)</f>
        <v>=LOOKUP(K271,$D$274:$D$279,$F$274:$F$279)</v>
      </c>
      <c r="E287" s="92" t="s">
        <v>90</v>
      </c>
      <c r="F287" s="93" t="s">
        <v>160</v>
      </c>
      <c r="G287" s="93"/>
      <c r="H287" s="93"/>
      <c r="I287" s="93" t="s">
        <v>227</v>
      </c>
      <c r="J287" s="93"/>
      <c r="K287" s="93"/>
      <c r="L287" s="95">
        <f>LOOKUP(K271,$D$274:$D$279,$F$274:$F$279)</f>
        <v>2.5000000000000001E-2</v>
      </c>
      <c r="M287" s="95">
        <f t="shared" ref="M287:P287" si="147">LOOKUP(L271,$D$274:$D$279,$F$274:$F$279)</f>
        <v>1.4999999999999999E-2</v>
      </c>
      <c r="N287" s="95">
        <f t="shared" si="147"/>
        <v>1.4999999999999999E-2</v>
      </c>
      <c r="O287" s="95">
        <f t="shared" si="147"/>
        <v>1.4999999999999999E-2</v>
      </c>
      <c r="P287" s="96">
        <f t="shared" si="147"/>
        <v>1.4999999999999999E-2</v>
      </c>
    </row>
    <row r="288" spans="4:16" x14ac:dyDescent="0.25">
      <c r="D288" s="166"/>
      <c r="E288" s="92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4"/>
    </row>
    <row r="289" spans="3:17" x14ac:dyDescent="0.25">
      <c r="D289" s="166" t="str">
        <f ca="1">_xlfn.FORMULATEXT(L289)</f>
        <v>=OFFSET($F273,MATCH(K271,$D$274:$D$279,1),0)</v>
      </c>
      <c r="E289" s="92" t="s">
        <v>90</v>
      </c>
      <c r="F289" s="93" t="s">
        <v>160</v>
      </c>
      <c r="G289" s="93"/>
      <c r="H289" s="93"/>
      <c r="I289" s="93" t="s">
        <v>228</v>
      </c>
      <c r="J289" s="93"/>
      <c r="K289" s="93"/>
      <c r="L289" s="95">
        <f ca="1">OFFSET($F273,MATCH(K271,$D$274:$D$279,1),0)</f>
        <v>2.5000000000000001E-2</v>
      </c>
      <c r="M289" s="95">
        <f t="shared" ref="M289:P289" ca="1" si="148">OFFSET($F273,MATCH(L271,$D$274:$D$279,1),0)</f>
        <v>1.4999999999999999E-2</v>
      </c>
      <c r="N289" s="95">
        <f t="shared" ca="1" si="148"/>
        <v>1.4999999999999999E-2</v>
      </c>
      <c r="O289" s="95">
        <f t="shared" ca="1" si="148"/>
        <v>1.4999999999999999E-2</v>
      </c>
      <c r="P289" s="96">
        <f t="shared" ca="1" si="148"/>
        <v>1.4999999999999999E-2</v>
      </c>
    </row>
    <row r="290" spans="3:17" x14ac:dyDescent="0.25">
      <c r="D290" s="166"/>
      <c r="E290" s="92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4"/>
    </row>
    <row r="291" spans="3:17" ht="23.65" x14ac:dyDescent="0.25">
      <c r="D291" s="167" t="str">
        <f ca="1">_xlfn.FORMULATEXT(L291)</f>
        <v>=CHOOSE(MATCH(K271,$D$274:$D$279,1),$F274,$F275,$F276,$F277,$F278,$F279)</v>
      </c>
      <c r="E291" s="66" t="s">
        <v>90</v>
      </c>
      <c r="F291" s="97" t="s">
        <v>160</v>
      </c>
      <c r="G291" s="97"/>
      <c r="H291" s="97"/>
      <c r="I291" s="97" t="s">
        <v>230</v>
      </c>
      <c r="J291" s="97"/>
      <c r="K291" s="97"/>
      <c r="L291" s="98">
        <f>CHOOSE(MATCH(K271,$D$274:$D$279,1),$F274,$F275,$F276,$F277,$F278,$F279)</f>
        <v>2.5000000000000001E-2</v>
      </c>
      <c r="M291" s="98">
        <f t="shared" ref="M291:P291" si="149">CHOOSE(MATCH(L271,$D$274:$D$279,1),$F274,$F275,$F276,$F277,$F278,$F279)</f>
        <v>1.4999999999999999E-2</v>
      </c>
      <c r="N291" s="98">
        <f t="shared" si="149"/>
        <v>1.4999999999999999E-2</v>
      </c>
      <c r="O291" s="98">
        <f t="shared" si="149"/>
        <v>1.4999999999999999E-2</v>
      </c>
      <c r="P291" s="99">
        <f t="shared" si="149"/>
        <v>1.4999999999999999E-2</v>
      </c>
    </row>
    <row r="294" spans="3:17" x14ac:dyDescent="0.25">
      <c r="C294" s="61" t="s">
        <v>232</v>
      </c>
    </row>
    <row r="295" spans="3:17" x14ac:dyDescent="0.25">
      <c r="D295" t="str">
        <f>D66</f>
        <v>Beginning Cash</v>
      </c>
      <c r="E295" s="62" t="str">
        <f>currency</f>
        <v>$'m</v>
      </c>
      <c r="L295">
        <f>K297</f>
        <v>815.70799999999917</v>
      </c>
      <c r="M295">
        <f t="shared" ref="M295:P295" si="150">L297</f>
        <v>82.750373475743913</v>
      </c>
      <c r="N295">
        <f t="shared" si="150"/>
        <v>0</v>
      </c>
      <c r="O295">
        <f t="shared" si="150"/>
        <v>0</v>
      </c>
      <c r="P295">
        <f t="shared" si="150"/>
        <v>0</v>
      </c>
      <c r="Q295" s="62" t="str">
        <f t="shared" ca="1" si="143"/>
        <v>=K297</v>
      </c>
    </row>
    <row r="296" spans="3:17" x14ac:dyDescent="0.25">
      <c r="D296" t="str">
        <f>D65</f>
        <v>Change in Cash Position</v>
      </c>
      <c r="E296" s="62" t="str">
        <f>currency</f>
        <v>$'m</v>
      </c>
      <c r="L296">
        <f>L65</f>
        <v>-732.95762652425526</v>
      </c>
      <c r="M296">
        <f>M65</f>
        <v>-82.750373475743913</v>
      </c>
      <c r="N296">
        <f>N65</f>
        <v>0</v>
      </c>
      <c r="O296">
        <f>O65</f>
        <v>0</v>
      </c>
      <c r="P296">
        <f>P65</f>
        <v>0</v>
      </c>
      <c r="Q296" s="62" t="str">
        <f t="shared" ca="1" si="143"/>
        <v>=L65</v>
      </c>
    </row>
    <row r="297" spans="3:17" ht="14.4" thickBot="1" x14ac:dyDescent="0.3">
      <c r="D297" t="str">
        <f>D67</f>
        <v>Ending Cash</v>
      </c>
      <c r="E297" s="62" t="str">
        <f>currency</f>
        <v>$'m</v>
      </c>
      <c r="K297" s="58">
        <f>K67</f>
        <v>815.70799999999917</v>
      </c>
      <c r="L297" s="79">
        <f>SUM(L295:L296)</f>
        <v>82.750373475743913</v>
      </c>
      <c r="M297" s="79">
        <f t="shared" ref="M297:P297" si="151">SUM(M295:M296)</f>
        <v>0</v>
      </c>
      <c r="N297" s="79">
        <f t="shared" si="151"/>
        <v>0</v>
      </c>
      <c r="O297" s="79">
        <f t="shared" si="151"/>
        <v>0</v>
      </c>
      <c r="P297" s="79">
        <f t="shared" si="151"/>
        <v>0</v>
      </c>
      <c r="Q297" s="62" t="str">
        <f t="shared" ca="1" si="143"/>
        <v>=SUM(L295:L296)</v>
      </c>
    </row>
    <row r="298" spans="3:17" ht="14.4" thickTop="1" x14ac:dyDescent="0.25"/>
    <row r="299" spans="3:17" x14ac:dyDescent="0.25">
      <c r="D299" t="s">
        <v>243</v>
      </c>
      <c r="E299" s="62" t="str">
        <f>currency</f>
        <v>$'m</v>
      </c>
      <c r="F299" s="62" t="str">
        <f ca="1">_xlfn.FORMULATEXT(L299)</f>
        <v>=IF(S_Circularity="ON",AVERAGE(K297:L297)*$F$239,K297*$F$239)</v>
      </c>
      <c r="L299">
        <f>IF(S_Circularity="ON",AVERAGE(K297:L297)*$F$239,K297*$F$239)</f>
        <v>20.39269999999998</v>
      </c>
      <c r="M299">
        <f>IF(S_Circularity="ON",AVERAGE(L297:M297)*$F$239,L297*$F$239)</f>
        <v>2.0687593368935979</v>
      </c>
      <c r="N299">
        <f>IF(S_Circularity="ON",AVERAGE(M297:N297)*$F$239,M297*$F$239)</f>
        <v>0</v>
      </c>
      <c r="O299">
        <f>IF(S_Circularity="ON",AVERAGE(N297:O297)*$F$239,N297*$F$239)</f>
        <v>0</v>
      </c>
      <c r="P299">
        <f>IF(S_Circularity="ON",AVERAGE(O297:P297)*$F$239,O297*$F$239)</f>
        <v>0</v>
      </c>
    </row>
    <row r="301" spans="3:17" x14ac:dyDescent="0.25">
      <c r="C301" s="61" t="s">
        <v>234</v>
      </c>
    </row>
    <row r="302" spans="3:17" x14ac:dyDescent="0.25">
      <c r="D302" t="str">
        <f>D295</f>
        <v>Beginning Cash</v>
      </c>
      <c r="E302" s="62" t="str">
        <f>E295</f>
        <v>$'m</v>
      </c>
      <c r="L302">
        <f>L295</f>
        <v>815.70799999999917</v>
      </c>
      <c r="M302">
        <f t="shared" ref="M302:P302" si="152">M295</f>
        <v>82.750373475743913</v>
      </c>
      <c r="N302">
        <f t="shared" si="152"/>
        <v>0</v>
      </c>
      <c r="O302">
        <f t="shared" si="152"/>
        <v>0</v>
      </c>
      <c r="P302">
        <f t="shared" si="152"/>
        <v>0</v>
      </c>
      <c r="Q302" s="62" t="str">
        <f t="shared" ca="1" si="143"/>
        <v>=L295</v>
      </c>
    </row>
    <row r="303" spans="3:17" x14ac:dyDescent="0.25">
      <c r="D303" t="str">
        <f>D46</f>
        <v>Operating Cash Flow</v>
      </c>
      <c r="E303" s="62" t="str">
        <f>E46</f>
        <v>$'m</v>
      </c>
      <c r="L303">
        <f>L46</f>
        <v>279.67638470512418</v>
      </c>
      <c r="M303">
        <f>M46</f>
        <v>317.31832292556322</v>
      </c>
      <c r="N303">
        <f>N46</f>
        <v>353.92080251348432</v>
      </c>
      <c r="O303">
        <f>O46</f>
        <v>377.52725287656364</v>
      </c>
      <c r="P303">
        <f>P46</f>
        <v>417.65275275318407</v>
      </c>
      <c r="Q303" s="62" t="str">
        <f t="shared" ca="1" si="143"/>
        <v>=L46</v>
      </c>
    </row>
    <row r="304" spans="3:17" x14ac:dyDescent="0.25">
      <c r="D304" t="str">
        <f>D52</f>
        <v>Investing Cash Flow</v>
      </c>
      <c r="E304" s="62" t="str">
        <f>E52</f>
        <v>$'m</v>
      </c>
      <c r="L304">
        <f>L52</f>
        <v>-297</v>
      </c>
      <c r="M304">
        <f>M52</f>
        <v>-332</v>
      </c>
      <c r="N304">
        <f>N52</f>
        <v>-317</v>
      </c>
      <c r="O304">
        <f>O52</f>
        <v>-317</v>
      </c>
      <c r="P304">
        <f>P52</f>
        <v>-317</v>
      </c>
      <c r="Q304" s="62" t="str">
        <f t="shared" ca="1" si="143"/>
        <v>=L52</v>
      </c>
    </row>
    <row r="305" spans="3:17" x14ac:dyDescent="0.25">
      <c r="D305" t="str">
        <f t="shared" ref="D305:E311" si="153">D56</f>
        <v>Variable Rate Long Term Debt Issuance / (Repayment)</v>
      </c>
      <c r="E305" s="62" t="str">
        <f t="shared" si="153"/>
        <v>$'m</v>
      </c>
      <c r="L305">
        <f t="shared" ref="L305:P311" si="154">L56</f>
        <v>-35</v>
      </c>
      <c r="M305">
        <f t="shared" si="154"/>
        <v>-35</v>
      </c>
      <c r="N305">
        <f t="shared" si="154"/>
        <v>-35</v>
      </c>
      <c r="O305">
        <f t="shared" si="154"/>
        <v>-35</v>
      </c>
      <c r="P305">
        <f t="shared" si="154"/>
        <v>-35</v>
      </c>
      <c r="Q305" s="62" t="str">
        <f t="shared" ca="1" si="143"/>
        <v>=L56</v>
      </c>
    </row>
    <row r="306" spans="3:17" x14ac:dyDescent="0.25">
      <c r="D306" t="str">
        <f t="shared" si="153"/>
        <v>Fixed Rate Long Term Debt Issuance / (Repayment)</v>
      </c>
      <c r="E306" s="62" t="str">
        <f t="shared" si="153"/>
        <v>$'m</v>
      </c>
      <c r="L306">
        <f t="shared" si="154"/>
        <v>-180</v>
      </c>
      <c r="M306">
        <f t="shared" si="154"/>
        <v>-180</v>
      </c>
      <c r="N306">
        <f t="shared" si="154"/>
        <v>-180</v>
      </c>
      <c r="O306">
        <f t="shared" si="154"/>
        <v>-180</v>
      </c>
      <c r="P306">
        <f t="shared" si="154"/>
        <v>-176.59999999999991</v>
      </c>
      <c r="Q306" s="62" t="str">
        <f t="shared" ca="1" si="143"/>
        <v>=L57</v>
      </c>
    </row>
    <row r="307" spans="3:17" x14ac:dyDescent="0.25">
      <c r="D307" t="str">
        <f t="shared" si="153"/>
        <v>Preferred Share Issuance/ (Buy-Back)</v>
      </c>
      <c r="E307" s="62" t="str">
        <f t="shared" si="153"/>
        <v>$'m</v>
      </c>
      <c r="L307">
        <f t="shared" si="154"/>
        <v>48</v>
      </c>
      <c r="M307">
        <f t="shared" si="154"/>
        <v>45</v>
      </c>
      <c r="N307">
        <f t="shared" si="154"/>
        <v>45</v>
      </c>
      <c r="O307">
        <f t="shared" si="154"/>
        <v>45</v>
      </c>
      <c r="P307">
        <f t="shared" si="154"/>
        <v>45</v>
      </c>
      <c r="Q307" s="62" t="str">
        <f t="shared" ca="1" si="143"/>
        <v>=L58</v>
      </c>
    </row>
    <row r="308" spans="3:17" x14ac:dyDescent="0.25">
      <c r="D308" t="str">
        <f t="shared" si="153"/>
        <v>Common Share Issuance/ (Buy-Back)</v>
      </c>
      <c r="E308" s="62" t="str">
        <f t="shared" si="153"/>
        <v>$'m</v>
      </c>
      <c r="L308">
        <f t="shared" si="154"/>
        <v>-90</v>
      </c>
      <c r="M308">
        <f t="shared" si="154"/>
        <v>-50</v>
      </c>
      <c r="N308">
        <f t="shared" si="154"/>
        <v>-32</v>
      </c>
      <c r="O308">
        <f t="shared" si="154"/>
        <v>-32</v>
      </c>
      <c r="P308">
        <f t="shared" si="154"/>
        <v>-32</v>
      </c>
      <c r="Q308" s="62" t="str">
        <f t="shared" ca="1" si="143"/>
        <v>=L59</v>
      </c>
    </row>
    <row r="309" spans="3:17" x14ac:dyDescent="0.25">
      <c r="D309" t="str">
        <f t="shared" si="153"/>
        <v>Preferred Share Dividends</v>
      </c>
      <c r="E309" s="62" t="str">
        <f t="shared" si="153"/>
        <v>$'m</v>
      </c>
      <c r="L309">
        <f t="shared" si="154"/>
        <v>-2.8879999999999999</v>
      </c>
      <c r="M309">
        <f t="shared" si="154"/>
        <v>-7.3055000000000003</v>
      </c>
      <c r="N309">
        <f t="shared" si="154"/>
        <v>-11.580500000000001</v>
      </c>
      <c r="O309">
        <f t="shared" si="154"/>
        <v>-15.855500000000001</v>
      </c>
      <c r="P309">
        <f t="shared" si="154"/>
        <v>-20.130500000000001</v>
      </c>
      <c r="Q309" s="62" t="str">
        <f t="shared" ca="1" si="143"/>
        <v>=L60</v>
      </c>
    </row>
    <row r="310" spans="3:17" x14ac:dyDescent="0.25">
      <c r="D310" t="str">
        <f t="shared" si="153"/>
        <v>Common Share Dividends</v>
      </c>
      <c r="E310" s="62" t="str">
        <f t="shared" si="153"/>
        <v>$'m</v>
      </c>
      <c r="L310">
        <f t="shared" si="154"/>
        <v>-55.746011229379405</v>
      </c>
      <c r="M310">
        <f t="shared" si="154"/>
        <v>-62.790218592849151</v>
      </c>
      <c r="N310">
        <f t="shared" si="154"/>
        <v>-71.715259172996809</v>
      </c>
      <c r="O310">
        <f t="shared" si="154"/>
        <v>-74.195975123472792</v>
      </c>
      <c r="P310">
        <f t="shared" si="154"/>
        <v>-84.581932963989743</v>
      </c>
      <c r="Q310" s="62" t="str">
        <f t="shared" ca="1" si="143"/>
        <v>=L61</v>
      </c>
    </row>
    <row r="311" spans="3:17" x14ac:dyDescent="0.25">
      <c r="D311" t="str">
        <f t="shared" si="153"/>
        <v>Other</v>
      </c>
      <c r="E311" s="62" t="str">
        <f t="shared" si="153"/>
        <v>$'m</v>
      </c>
      <c r="L311">
        <f t="shared" si="154"/>
        <v>0</v>
      </c>
      <c r="M311">
        <f t="shared" si="154"/>
        <v>0</v>
      </c>
      <c r="N311">
        <f t="shared" si="154"/>
        <v>0</v>
      </c>
      <c r="O311">
        <f t="shared" si="154"/>
        <v>0</v>
      </c>
      <c r="P311">
        <f t="shared" si="154"/>
        <v>0</v>
      </c>
      <c r="Q311" s="62" t="str">
        <f t="shared" ca="1" si="143"/>
        <v>=L62</v>
      </c>
    </row>
    <row r="312" spans="3:17" ht="14.4" thickBot="1" x14ac:dyDescent="0.3">
      <c r="D312" s="54" t="s">
        <v>235</v>
      </c>
      <c r="E312" s="62" t="str">
        <f>E63</f>
        <v>$'m</v>
      </c>
      <c r="L312" s="79">
        <f>SUM(L302:L311)</f>
        <v>482.75037347574403</v>
      </c>
      <c r="M312" s="79">
        <f t="shared" ref="M312:P312" si="155">SUM(M302:M311)</f>
        <v>-222.02702219154202</v>
      </c>
      <c r="N312" s="79">
        <f t="shared" si="155"/>
        <v>-248.37495665951249</v>
      </c>
      <c r="O312" s="79">
        <f t="shared" si="155"/>
        <v>-231.52422224690918</v>
      </c>
      <c r="P312" s="79">
        <f t="shared" si="155"/>
        <v>-202.65968021080556</v>
      </c>
      <c r="Q312" s="62" t="str">
        <f t="shared" ca="1" si="143"/>
        <v>=SUM(L302:L311)</v>
      </c>
    </row>
    <row r="313" spans="3:17" ht="14.4" thickTop="1" x14ac:dyDescent="0.25"/>
    <row r="314" spans="3:17" x14ac:dyDescent="0.25">
      <c r="C314" s="61" t="s">
        <v>236</v>
      </c>
    </row>
    <row r="315" spans="3:17" x14ac:dyDescent="0.25">
      <c r="D315" t="s">
        <v>194</v>
      </c>
      <c r="E315" s="62" t="str">
        <f>currency</f>
        <v>$'m</v>
      </c>
      <c r="L315">
        <f>K317</f>
        <v>400</v>
      </c>
      <c r="M315">
        <f t="shared" ref="M315:P315" si="156">L317</f>
        <v>0</v>
      </c>
      <c r="N315">
        <f t="shared" si="156"/>
        <v>222.02702219154202</v>
      </c>
      <c r="O315">
        <f t="shared" si="156"/>
        <v>470.40197885105454</v>
      </c>
      <c r="P315">
        <f t="shared" si="156"/>
        <v>701.92620109796371</v>
      </c>
      <c r="Q315" s="62" t="str">
        <f t="shared" ca="1" si="143"/>
        <v>=K317</v>
      </c>
    </row>
    <row r="316" spans="3:17" x14ac:dyDescent="0.25">
      <c r="D316" t="s">
        <v>237</v>
      </c>
      <c r="E316" s="62" t="str">
        <f>currency</f>
        <v>$'m</v>
      </c>
      <c r="L316">
        <f>-MIN(L312,L315)</f>
        <v>-400</v>
      </c>
      <c r="M316">
        <f t="shared" ref="M316:P316" si="157">-MIN(M312,M315)</f>
        <v>222.02702219154202</v>
      </c>
      <c r="N316">
        <f t="shared" si="157"/>
        <v>248.37495665951249</v>
      </c>
      <c r="O316">
        <f t="shared" si="157"/>
        <v>231.52422224690918</v>
      </c>
      <c r="P316">
        <f t="shared" si="157"/>
        <v>202.65968021080556</v>
      </c>
      <c r="Q316" s="62" t="str">
        <f t="shared" ca="1" si="143"/>
        <v>=-MIN(L312,L315)</v>
      </c>
    </row>
    <row r="317" spans="3:17" ht="14.4" thickBot="1" x14ac:dyDescent="0.3">
      <c r="D317" t="s">
        <v>197</v>
      </c>
      <c r="E317" s="62" t="str">
        <f>currency</f>
        <v>$'m</v>
      </c>
      <c r="K317" s="58">
        <f>K88</f>
        <v>400</v>
      </c>
      <c r="L317" s="79">
        <f>SUM(L315:L316)</f>
        <v>0</v>
      </c>
      <c r="M317" s="79">
        <f t="shared" ref="M317:P317" si="158">SUM(M315:M316)</f>
        <v>222.02702219154202</v>
      </c>
      <c r="N317" s="79">
        <f t="shared" si="158"/>
        <v>470.40197885105454</v>
      </c>
      <c r="O317" s="79">
        <f t="shared" si="158"/>
        <v>701.92620109796371</v>
      </c>
      <c r="P317" s="79">
        <f t="shared" si="158"/>
        <v>904.58588130876933</v>
      </c>
      <c r="Q317" s="62" t="str">
        <f t="shared" ca="1" si="143"/>
        <v>=SUM(L315:L316)</v>
      </c>
    </row>
    <row r="318" spans="3:17" ht="14.4" thickTop="1" x14ac:dyDescent="0.25"/>
    <row r="319" spans="3:17" x14ac:dyDescent="0.25">
      <c r="D319" t="s">
        <v>240</v>
      </c>
      <c r="E319" s="62" t="str">
        <f>currency</f>
        <v>$'m</v>
      </c>
      <c r="L319">
        <f>K317*$F$238</f>
        <v>26</v>
      </c>
      <c r="M319">
        <f t="shared" ref="M319:P319" si="159">L317*$F$238</f>
        <v>0</v>
      </c>
      <c r="N319">
        <f t="shared" si="159"/>
        <v>14.431756442450231</v>
      </c>
      <c r="O319">
        <f t="shared" si="159"/>
        <v>30.576128625318546</v>
      </c>
      <c r="P319">
        <f t="shared" si="159"/>
        <v>45.625203071367643</v>
      </c>
      <c r="Q319" s="62" t="str">
        <f t="shared" ca="1" si="143"/>
        <v>=K317*$F$238</v>
      </c>
    </row>
    <row r="321" spans="3:17" x14ac:dyDescent="0.25">
      <c r="C321" s="61" t="s">
        <v>239</v>
      </c>
    </row>
    <row r="322" spans="3:17" x14ac:dyDescent="0.25">
      <c r="D322" t="str">
        <f>D249</f>
        <v>Interest Expense on Fixed Rate Debt</v>
      </c>
      <c r="E322" s="62" t="str">
        <f>currency</f>
        <v>$'m</v>
      </c>
      <c r="L322">
        <f>L249</f>
        <v>52.832299999999996</v>
      </c>
      <c r="M322">
        <f t="shared" ref="M322:P322" si="160">M249</f>
        <v>41.042299999999997</v>
      </c>
      <c r="N322">
        <f t="shared" si="160"/>
        <v>29.252299999999995</v>
      </c>
      <c r="O322">
        <f t="shared" si="160"/>
        <v>17.462299999999995</v>
      </c>
      <c r="P322">
        <f t="shared" si="160"/>
        <v>5.7836499999999971</v>
      </c>
      <c r="Q322" s="62" t="str">
        <f t="shared" ca="1" si="143"/>
        <v>=L249</v>
      </c>
    </row>
    <row r="323" spans="3:17" x14ac:dyDescent="0.25">
      <c r="D323" t="str">
        <f>D261</f>
        <v>Interest Expense on Variable Rate Debt</v>
      </c>
      <c r="E323" s="62" t="str">
        <f>currency</f>
        <v>$'m</v>
      </c>
      <c r="L323">
        <f>L261</f>
        <v>17.9025</v>
      </c>
      <c r="M323">
        <f t="shared" ref="M323:P323" si="161">M261</f>
        <v>13.2325</v>
      </c>
      <c r="N323">
        <f t="shared" si="161"/>
        <v>10.887500000000001</v>
      </c>
      <c r="O323">
        <f t="shared" si="161"/>
        <v>8.5425000000000004</v>
      </c>
      <c r="P323">
        <f t="shared" si="161"/>
        <v>6.1975000000000007</v>
      </c>
      <c r="Q323" s="62" t="str">
        <f t="shared" ca="1" si="143"/>
        <v>=L261</v>
      </c>
    </row>
    <row r="324" spans="3:17" x14ac:dyDescent="0.25">
      <c r="D324" t="str">
        <f>D319</f>
        <v>Interest Expense on Revlover</v>
      </c>
      <c r="E324" s="62" t="str">
        <f>currency</f>
        <v>$'m</v>
      </c>
      <c r="L324">
        <f>L319</f>
        <v>26</v>
      </c>
      <c r="M324">
        <f t="shared" ref="M324:P324" si="162">M319</f>
        <v>0</v>
      </c>
      <c r="N324">
        <f t="shared" si="162"/>
        <v>14.431756442450231</v>
      </c>
      <c r="O324">
        <f t="shared" si="162"/>
        <v>30.576128625318546</v>
      </c>
      <c r="P324">
        <f t="shared" si="162"/>
        <v>45.625203071367643</v>
      </c>
      <c r="Q324" s="62" t="str">
        <f t="shared" ca="1" si="143"/>
        <v>=L319</v>
      </c>
    </row>
    <row r="325" spans="3:17" x14ac:dyDescent="0.25">
      <c r="D325" t="str">
        <f>D299</f>
        <v>Interest Income on Cash</v>
      </c>
      <c r="E325" s="62" t="str">
        <f>currency</f>
        <v>$'m</v>
      </c>
      <c r="L325">
        <f>-L299</f>
        <v>-20.39269999999998</v>
      </c>
      <c r="M325">
        <f t="shared" ref="M325:P325" si="163">-M299</f>
        <v>-2.0687593368935979</v>
      </c>
      <c r="N325">
        <f t="shared" si="163"/>
        <v>0</v>
      </c>
      <c r="O325">
        <f t="shared" si="163"/>
        <v>0</v>
      </c>
      <c r="P325">
        <f t="shared" si="163"/>
        <v>0</v>
      </c>
      <c r="Q325" s="62" t="str">
        <f t="shared" ca="1" si="143"/>
        <v>=-L299</v>
      </c>
    </row>
    <row r="326" spans="3:17" s="54" customFormat="1" ht="13.25" thickBot="1" x14ac:dyDescent="0.3">
      <c r="D326" s="54" t="s">
        <v>55</v>
      </c>
      <c r="E326" s="68" t="str">
        <f>currency</f>
        <v>$'m</v>
      </c>
      <c r="L326" s="79">
        <f>SUM(L322:L325)</f>
        <v>76.342100000000016</v>
      </c>
      <c r="M326" s="79">
        <f t="shared" ref="M326:P326" si="164">SUM(M322:M325)</f>
        <v>52.2060406631064</v>
      </c>
      <c r="N326" s="79">
        <f t="shared" si="164"/>
        <v>54.571556442450223</v>
      </c>
      <c r="O326" s="79">
        <f t="shared" si="164"/>
        <v>56.580928625318542</v>
      </c>
      <c r="P326" s="79">
        <f t="shared" si="164"/>
        <v>57.606353071367643</v>
      </c>
      <c r="Q326" s="62" t="str">
        <f t="shared" ca="1" si="143"/>
        <v>=SUM(L322:L325)</v>
      </c>
    </row>
    <row r="327" spans="3:17" ht="14.4" thickTop="1" x14ac:dyDescent="0.25"/>
    <row r="329" spans="3:17" x14ac:dyDescent="0.25">
      <c r="C329" s="60" t="s">
        <v>238</v>
      </c>
      <c r="D329" s="60"/>
      <c r="E329" s="63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</row>
    <row r="330" spans="3:17" x14ac:dyDescent="0.25">
      <c r="C330" s="61" t="s">
        <v>244</v>
      </c>
    </row>
    <row r="331" spans="3:17" x14ac:dyDescent="0.25">
      <c r="D331" t="str">
        <f>Inp!D118</f>
        <v>Preferred Shares issuance</v>
      </c>
      <c r="E331" s="62" t="str">
        <f>Inp!E118</f>
        <v>$'m</v>
      </c>
      <c r="L331" s="58">
        <f>Inp!L118</f>
        <v>48</v>
      </c>
      <c r="M331" s="58">
        <f>Inp!M118</f>
        <v>45</v>
      </c>
      <c r="N331" s="58">
        <f>Inp!N118</f>
        <v>45</v>
      </c>
      <c r="O331" s="58">
        <f>Inp!O118</f>
        <v>45</v>
      </c>
      <c r="P331" s="58">
        <f>Inp!P118</f>
        <v>45</v>
      </c>
      <c r="Q331" s="62" t="str">
        <f t="shared" ca="1" si="143"/>
        <v>=Inp!L118</v>
      </c>
    </row>
    <row r="332" spans="3:17" x14ac:dyDescent="0.25">
      <c r="D332" t="str">
        <f>Inp!D120</f>
        <v>Preferred Shares Dividend Ratio</v>
      </c>
      <c r="E332" s="62" t="str">
        <f>Inp!E120</f>
        <v>%age</v>
      </c>
      <c r="F332" s="84">
        <f>Inp!F120</f>
        <v>9.5000000000000001E-2</v>
      </c>
    </row>
    <row r="334" spans="3:17" x14ac:dyDescent="0.25">
      <c r="D334" t="s">
        <v>194</v>
      </c>
      <c r="E334" s="62" t="str">
        <f>currency</f>
        <v>$'m</v>
      </c>
      <c r="L334">
        <f>K336</f>
        <v>6.4</v>
      </c>
      <c r="M334">
        <f t="shared" ref="M334:P334" si="165">L336</f>
        <v>54.4</v>
      </c>
      <c r="N334">
        <f t="shared" si="165"/>
        <v>99.4</v>
      </c>
      <c r="O334">
        <f t="shared" si="165"/>
        <v>144.4</v>
      </c>
      <c r="P334">
        <f t="shared" si="165"/>
        <v>189.4</v>
      </c>
      <c r="Q334" s="62" t="str">
        <f t="shared" ca="1" si="143"/>
        <v>=K336</v>
      </c>
    </row>
    <row r="335" spans="3:17" x14ac:dyDescent="0.25">
      <c r="D335" t="s">
        <v>245</v>
      </c>
      <c r="E335" s="62" t="str">
        <f>currency</f>
        <v>$'m</v>
      </c>
      <c r="L335">
        <f>L331</f>
        <v>48</v>
      </c>
      <c r="M335">
        <f t="shared" ref="M335:P335" si="166">M331</f>
        <v>45</v>
      </c>
      <c r="N335">
        <f t="shared" si="166"/>
        <v>45</v>
      </c>
      <c r="O335">
        <f t="shared" si="166"/>
        <v>45</v>
      </c>
      <c r="P335">
        <f t="shared" si="166"/>
        <v>45</v>
      </c>
      <c r="Q335" s="62" t="str">
        <f t="shared" ref="Q335:Q352" ca="1" si="167">_xlfn.FORMULATEXT(L335)</f>
        <v>=L331</v>
      </c>
    </row>
    <row r="336" spans="3:17" ht="14.4" thickBot="1" x14ac:dyDescent="0.3">
      <c r="D336" s="54" t="s">
        <v>197</v>
      </c>
      <c r="E336" s="62" t="str">
        <f>currency</f>
        <v>$'m</v>
      </c>
      <c r="K336" s="58">
        <f>K100</f>
        <v>6.4</v>
      </c>
      <c r="L336" s="79">
        <f>SUM(L334:L335)</f>
        <v>54.4</v>
      </c>
      <c r="M336" s="79">
        <f t="shared" ref="M336:P336" si="168">SUM(M334:M335)</f>
        <v>99.4</v>
      </c>
      <c r="N336" s="79">
        <f t="shared" si="168"/>
        <v>144.4</v>
      </c>
      <c r="O336" s="79">
        <f t="shared" si="168"/>
        <v>189.4</v>
      </c>
      <c r="P336" s="79">
        <f t="shared" si="168"/>
        <v>234.4</v>
      </c>
      <c r="Q336" s="62" t="str">
        <f t="shared" ca="1" si="167"/>
        <v>=SUM(L334:L335)</v>
      </c>
    </row>
    <row r="337" spans="3:17" ht="14.4" thickTop="1" x14ac:dyDescent="0.25"/>
    <row r="338" spans="3:17" x14ac:dyDescent="0.25">
      <c r="D338" t="s">
        <v>246</v>
      </c>
      <c r="E338" s="62" t="str">
        <f>currency</f>
        <v>$'m</v>
      </c>
      <c r="I338" s="62" t="str">
        <f ca="1">_xlfn.FORMULATEXT(L338)</f>
        <v>=AVERAGE(K336:L336)*$F$332</v>
      </c>
      <c r="L338">
        <f>AVERAGE(K336:L336)*$F$332</f>
        <v>2.8879999999999999</v>
      </c>
      <c r="M338">
        <f t="shared" ref="M338:P338" si="169">AVERAGE(L336:M336)*$F$332</f>
        <v>7.3055000000000003</v>
      </c>
      <c r="N338">
        <f t="shared" si="169"/>
        <v>11.580500000000001</v>
      </c>
      <c r="O338">
        <f t="shared" si="169"/>
        <v>15.855500000000001</v>
      </c>
      <c r="P338">
        <f t="shared" si="169"/>
        <v>20.130500000000001</v>
      </c>
    </row>
    <row r="340" spans="3:17" x14ac:dyDescent="0.25">
      <c r="C340" s="61" t="s">
        <v>247</v>
      </c>
    </row>
    <row r="341" spans="3:17" x14ac:dyDescent="0.25">
      <c r="D341" t="str">
        <f>Inp!D119</f>
        <v>Common Shares buyback</v>
      </c>
      <c r="E341" s="62" t="str">
        <f>Inp!E119</f>
        <v>$'m</v>
      </c>
      <c r="L341" s="58">
        <f>Inp!L119</f>
        <v>-90</v>
      </c>
      <c r="M341" s="58">
        <f>Inp!M119</f>
        <v>-50</v>
      </c>
      <c r="N341" s="58">
        <f>Inp!N119</f>
        <v>-32</v>
      </c>
      <c r="O341" s="58">
        <f>Inp!O119</f>
        <v>-32</v>
      </c>
      <c r="P341" s="58">
        <f>Inp!P119</f>
        <v>-32</v>
      </c>
      <c r="Q341" s="62" t="str">
        <f t="shared" ca="1" si="167"/>
        <v>=Inp!L119</v>
      </c>
    </row>
    <row r="342" spans="3:17" x14ac:dyDescent="0.25">
      <c r="D342" t="str">
        <f>Inp!D121</f>
        <v>Common Shares Dividend Ratio</v>
      </c>
      <c r="E342" s="62" t="str">
        <f>Inp!E121</f>
        <v>%age</v>
      </c>
      <c r="F342" s="84">
        <f>Inp!F121</f>
        <v>0.32</v>
      </c>
    </row>
    <row r="344" spans="3:17" x14ac:dyDescent="0.25">
      <c r="D344" t="s">
        <v>194</v>
      </c>
      <c r="E344" s="62" t="str">
        <f>currency</f>
        <v>$'m</v>
      </c>
      <c r="L344">
        <f>K346</f>
        <v>346.40000000000003</v>
      </c>
      <c r="M344">
        <f t="shared" ref="M344:P344" si="170">L346</f>
        <v>256.40000000000003</v>
      </c>
      <c r="N344">
        <f t="shared" si="170"/>
        <v>206.40000000000003</v>
      </c>
      <c r="O344">
        <f t="shared" si="170"/>
        <v>174.40000000000003</v>
      </c>
      <c r="P344">
        <f t="shared" si="170"/>
        <v>142.40000000000003</v>
      </c>
      <c r="Q344" s="62" t="str">
        <f t="shared" ca="1" si="167"/>
        <v>=K346</v>
      </c>
    </row>
    <row r="345" spans="3:17" x14ac:dyDescent="0.25">
      <c r="D345" t="s">
        <v>245</v>
      </c>
      <c r="E345" s="62" t="str">
        <f>currency</f>
        <v>$'m</v>
      </c>
      <c r="L345">
        <f>L341</f>
        <v>-90</v>
      </c>
      <c r="M345">
        <f t="shared" ref="M345:P345" si="171">M341</f>
        <v>-50</v>
      </c>
      <c r="N345">
        <f t="shared" si="171"/>
        <v>-32</v>
      </c>
      <c r="O345">
        <f t="shared" si="171"/>
        <v>-32</v>
      </c>
      <c r="P345">
        <f t="shared" si="171"/>
        <v>-32</v>
      </c>
      <c r="Q345" s="62" t="str">
        <f t="shared" ca="1" si="167"/>
        <v>=L341</v>
      </c>
    </row>
    <row r="346" spans="3:17" ht="14.4" thickBot="1" x14ac:dyDescent="0.3">
      <c r="D346" s="54" t="s">
        <v>197</v>
      </c>
      <c r="E346" s="62" t="str">
        <f>currency</f>
        <v>$'m</v>
      </c>
      <c r="K346" s="58">
        <f>K101</f>
        <v>346.40000000000003</v>
      </c>
      <c r="L346" s="79">
        <f>SUM(L344:L345)</f>
        <v>256.40000000000003</v>
      </c>
      <c r="M346" s="79">
        <f t="shared" ref="M346:P346" si="172">SUM(M344:M345)</f>
        <v>206.40000000000003</v>
      </c>
      <c r="N346" s="79">
        <f t="shared" si="172"/>
        <v>174.40000000000003</v>
      </c>
      <c r="O346" s="79">
        <f t="shared" si="172"/>
        <v>142.40000000000003</v>
      </c>
      <c r="P346" s="79">
        <f t="shared" si="172"/>
        <v>110.40000000000003</v>
      </c>
      <c r="Q346" s="62" t="str">
        <f t="shared" ca="1" si="167"/>
        <v>=SUM(L344:L345)</v>
      </c>
    </row>
    <row r="347" spans="3:17" ht="14.4" thickTop="1" x14ac:dyDescent="0.25"/>
    <row r="348" spans="3:17" x14ac:dyDescent="0.25">
      <c r="C348" s="61" t="s">
        <v>248</v>
      </c>
    </row>
    <row r="349" spans="3:17" x14ac:dyDescent="0.25">
      <c r="D349" t="s">
        <v>194</v>
      </c>
      <c r="E349" s="62" t="str">
        <f>currency</f>
        <v>$'m</v>
      </c>
      <c r="L349">
        <f>K352</f>
        <v>-212.89200000000073</v>
      </c>
      <c r="M349">
        <f t="shared" ref="M349:P349" si="173">L352</f>
        <v>-94.431726137569513</v>
      </c>
      <c r="N349">
        <f t="shared" si="173"/>
        <v>38.997488372234933</v>
      </c>
      <c r="O349">
        <f t="shared" si="173"/>
        <v>191.39241411485312</v>
      </c>
      <c r="P349">
        <f t="shared" si="173"/>
        <v>349.05886125223282</v>
      </c>
      <c r="Q349" s="62" t="str">
        <f t="shared" ca="1" si="167"/>
        <v>=K352</v>
      </c>
    </row>
    <row r="350" spans="3:17" x14ac:dyDescent="0.25">
      <c r="D350" t="s">
        <v>249</v>
      </c>
      <c r="E350" s="62" t="str">
        <f>currency</f>
        <v>$'m</v>
      </c>
      <c r="L350">
        <f>L27</f>
        <v>174.20628509181063</v>
      </c>
      <c r="M350">
        <f>M27</f>
        <v>196.2194331026536</v>
      </c>
      <c r="N350">
        <f>N27</f>
        <v>224.11018491561501</v>
      </c>
      <c r="O350">
        <f>O27</f>
        <v>231.86242226085247</v>
      </c>
      <c r="P350">
        <f>P27</f>
        <v>264.31854051246796</v>
      </c>
      <c r="Q350" s="62" t="str">
        <f t="shared" ca="1" si="167"/>
        <v>=L27</v>
      </c>
    </row>
    <row r="351" spans="3:17" x14ac:dyDescent="0.25">
      <c r="D351" t="s">
        <v>250</v>
      </c>
      <c r="E351" s="62" t="str">
        <f>currency</f>
        <v>$'m</v>
      </c>
      <c r="L351">
        <f>MAX(L350*$F$342,0)</f>
        <v>55.746011229379405</v>
      </c>
      <c r="M351">
        <f t="shared" ref="M351:P351" si="174">MAX(M350*$F$342,0)</f>
        <v>62.790218592849151</v>
      </c>
      <c r="N351">
        <f t="shared" si="174"/>
        <v>71.715259172996809</v>
      </c>
      <c r="O351">
        <f t="shared" si="174"/>
        <v>74.195975123472792</v>
      </c>
      <c r="P351">
        <f t="shared" si="174"/>
        <v>84.581932963989743</v>
      </c>
      <c r="Q351" s="62" t="str">
        <f t="shared" ca="1" si="167"/>
        <v>=MAX(L350*$F$342,0)</v>
      </c>
    </row>
    <row r="352" spans="3:17" ht="14.4" thickBot="1" x14ac:dyDescent="0.3">
      <c r="D352" t="s">
        <v>197</v>
      </c>
      <c r="E352" s="62" t="str">
        <f>currency</f>
        <v>$'m</v>
      </c>
      <c r="K352" s="58">
        <f>K102</f>
        <v>-212.89200000000073</v>
      </c>
      <c r="L352" s="79">
        <f>L349+L350-L351</f>
        <v>-94.431726137569513</v>
      </c>
      <c r="M352" s="79">
        <f t="shared" ref="M352:P352" si="175">M349+M350-M351</f>
        <v>38.997488372234933</v>
      </c>
      <c r="N352" s="79">
        <f t="shared" si="175"/>
        <v>191.39241411485312</v>
      </c>
      <c r="O352" s="79">
        <f t="shared" si="175"/>
        <v>349.05886125223282</v>
      </c>
      <c r="P352" s="79">
        <f t="shared" si="175"/>
        <v>528.79546880071109</v>
      </c>
      <c r="Q352" s="62" t="str">
        <f t="shared" ca="1" si="167"/>
        <v>=L349+L350-L351</v>
      </c>
    </row>
    <row r="353" ht="14.4" thickTop="1" x14ac:dyDescent="0.25"/>
  </sheetData>
  <mergeCells count="2">
    <mergeCell ref="J4:K4"/>
    <mergeCell ref="L4:M4"/>
  </mergeCells>
  <pageMargins left="0.51181102362204722" right="0.51181102362204722" top="0.35433070866141736" bottom="0.55118110236220474" header="0.31496062992125984" footer="0.31496062992125984"/>
  <pageSetup scale="65" fitToHeight="0" orientation="landscape" r:id="rId1"/>
  <headerFooter>
    <oddFooter>&amp;LFED Manufacturing Model&amp;CPage &amp;P of &amp;N&amp;RPrinted on &amp;D at &amp;T</oddFooter>
  </headerFooter>
  <rowBreaks count="8" manualBreakCount="8">
    <brk id="38" max="16383" man="1"/>
    <brk id="68" max="16383" man="1"/>
    <brk id="108" max="16383" man="1"/>
    <brk id="151" max="16383" man="1"/>
    <brk id="198" max="16383" man="1"/>
    <brk id="234" max="16383" man="1"/>
    <brk id="279" max="16383" man="1"/>
    <brk id="327" max="16383" man="1"/>
  </rowBreaks>
  <colBreaks count="2" manualBreakCount="2">
    <brk id="2" max="1048575" man="1"/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8645-C197-444F-A50C-BE2E6F9D0C98}">
  <sheetPr>
    <pageSetUpPr fitToPage="1"/>
  </sheetPr>
  <dimension ref="A1:Q7"/>
  <sheetViews>
    <sheetView showGridLines="0" workbookViewId="0">
      <pane ySplit="7" topLeftCell="A8" activePane="bottomLeft" state="frozen"/>
      <selection activeCell="J6" sqref="J6"/>
      <selection pane="bottomLeft" activeCell="J6" sqref="J6"/>
    </sheetView>
  </sheetViews>
  <sheetFormatPr defaultRowHeight="13.85" x14ac:dyDescent="0.25"/>
  <cols>
    <col min="1" max="1" width="0.54296875" customWidth="1"/>
    <col min="2" max="3" width="1.81640625" customWidth="1"/>
    <col min="4" max="4" width="30.6328125" customWidth="1"/>
    <col min="7" max="8" width="1.6328125" customWidth="1"/>
    <col min="10" max="10" width="9.453125" customWidth="1"/>
    <col min="12" max="12" width="10.453125" customWidth="1"/>
    <col min="13" max="13" width="10.26953125" customWidth="1"/>
  </cols>
  <sheetData>
    <row r="1" spans="1:17" ht="4.05" customHeight="1" x14ac:dyDescent="0.25"/>
    <row r="2" spans="1:17" ht="26.5" x14ac:dyDescent="0.55000000000000004">
      <c r="A2" s="48"/>
      <c r="B2" s="49" t="str">
        <f>Hist!B1</f>
        <v>FED Manufacturing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7" x14ac:dyDescent="0.25">
      <c r="A3" s="48"/>
      <c r="B3" s="53" t="s">
        <v>75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7" x14ac:dyDescent="0.25">
      <c r="A4" s="48"/>
      <c r="B4" s="48"/>
      <c r="C4" s="48"/>
      <c r="D4" s="48"/>
      <c r="E4" s="48"/>
      <c r="F4" s="48"/>
      <c r="G4" s="48"/>
      <c r="H4" s="48"/>
      <c r="I4" s="48"/>
      <c r="J4" s="168" t="str">
        <f>"BS Check "&amp;BS_Check</f>
        <v>BS Check OK</v>
      </c>
      <c r="K4" s="169"/>
      <c r="L4" s="168" t="str">
        <f>LiveScenario</f>
        <v>Scenario: Base Case</v>
      </c>
      <c r="M4" s="169"/>
      <c r="N4" s="48"/>
      <c r="O4" s="48"/>
      <c r="P4" s="48"/>
    </row>
    <row r="5" spans="1:17" ht="3.05" customHeight="1" x14ac:dyDescent="0.25"/>
    <row r="6" spans="1:17" x14ac:dyDescent="0.25">
      <c r="I6" s="50" t="s">
        <v>76</v>
      </c>
      <c r="J6" s="50" t="s">
        <v>76</v>
      </c>
      <c r="K6" s="50" t="s">
        <v>76</v>
      </c>
      <c r="L6" s="50" t="s">
        <v>77</v>
      </c>
      <c r="M6" s="50" t="s">
        <v>77</v>
      </c>
      <c r="N6" s="50" t="s">
        <v>77</v>
      </c>
      <c r="O6" s="50" t="s">
        <v>77</v>
      </c>
      <c r="P6" s="50" t="s">
        <v>77</v>
      </c>
    </row>
    <row r="7" spans="1:17" ht="14.4" x14ac:dyDescent="0.3">
      <c r="D7" s="54" t="s">
        <v>78</v>
      </c>
      <c r="E7" s="54" t="s">
        <v>73</v>
      </c>
      <c r="F7" s="54" t="s">
        <v>74</v>
      </c>
      <c r="I7" s="51">
        <f>Hist!G6</f>
        <v>2022</v>
      </c>
      <c r="J7" s="51">
        <f>Hist!H6</f>
        <v>2023</v>
      </c>
      <c r="K7" s="51">
        <f>Hist!I6</f>
        <v>2024</v>
      </c>
      <c r="L7" s="52">
        <f>K7+1</f>
        <v>2025</v>
      </c>
      <c r="M7" s="52">
        <f t="shared" ref="M7:P7" si="0">L7+1</f>
        <v>2026</v>
      </c>
      <c r="N7" s="52">
        <f t="shared" si="0"/>
        <v>2027</v>
      </c>
      <c r="O7" s="52">
        <f t="shared" si="0"/>
        <v>2028</v>
      </c>
      <c r="P7" s="52">
        <f t="shared" si="0"/>
        <v>2029</v>
      </c>
      <c r="Q7" s="47"/>
    </row>
  </sheetData>
  <mergeCells count="2">
    <mergeCell ref="J4:K4"/>
    <mergeCell ref="L4:M4"/>
  </mergeCells>
  <pageMargins left="0.7" right="0.7" top="0.75" bottom="0.75" header="0.3" footer="0.3"/>
  <pageSetup scale="96" fitToHeight="0" orientation="landscape" r:id="rId1"/>
  <headerFooter>
    <oddFooter>&amp;LFed Manufacturing Model&amp;CPage &amp;P of &amp;N&amp;RPrinted on &amp;D at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72A69AB9064D95049B970FA150B6" ma:contentTypeVersion="18" ma:contentTypeDescription="Create a new document." ma:contentTypeScope="" ma:versionID="ab81e4104d231187c0affe9b5cd0a053">
  <xsd:schema xmlns:xsd="http://www.w3.org/2001/XMLSchema" xmlns:xs="http://www.w3.org/2001/XMLSchema" xmlns:p="http://schemas.microsoft.com/office/2006/metadata/properties" xmlns:ns2="30fb3514-57f3-43d7-8a04-2a0a52bb0f40" xmlns:ns3="0e11384c-db64-4a7f-b983-5ea50ecd490d" targetNamespace="http://schemas.microsoft.com/office/2006/metadata/properties" ma:root="true" ma:fieldsID="4b68bcb3803106331f8083526fa578b1" ns2:_="" ns3:_="">
    <xsd:import namespace="30fb3514-57f3-43d7-8a04-2a0a52bb0f40"/>
    <xsd:import namespace="0e11384c-db64-4a7f-b983-5ea50ecd4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b3514-57f3-43d7-8a04-2a0a52bb0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95febbe-8800-4c16-a6d5-fe9535d6c5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1384c-db64-4a7f-b983-5ea50ecd4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2d40c2-0fae-40a6-8be7-1aa6524c18c3}" ma:internalName="TaxCatchAll" ma:showField="CatchAllData" ma:web="0e11384c-db64-4a7f-b983-5ea50ecd4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fb3514-57f3-43d7-8a04-2a0a52bb0f40">
      <Terms xmlns="http://schemas.microsoft.com/office/infopath/2007/PartnerControls"/>
    </lcf76f155ced4ddcb4097134ff3c332f>
    <TaxCatchAll xmlns="0e11384c-db64-4a7f-b983-5ea50ecd49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8FBA9-C6D3-4222-BA3C-16AAD54BE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b3514-57f3-43d7-8a04-2a0a52bb0f40"/>
    <ds:schemaRef ds:uri="0e11384c-db64-4a7f-b983-5ea50ecd49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55419B-7B52-4815-81B2-9A49109D6A02}">
  <ds:schemaRefs>
    <ds:schemaRef ds:uri="0e11384c-db64-4a7f-b983-5ea50ecd490d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30fb3514-57f3-43d7-8a04-2a0a52bb0f40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9C76F4F-968D-4564-8E15-E71E9DC858E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b04057-9724-4194-9478-a76b704c6dc9}" enabled="0" method="" siteId="{7bb04057-9724-4194-9478-a76b704c6d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Cover</vt:lpstr>
      <vt:lpstr>Hist</vt:lpstr>
      <vt:lpstr>Summary</vt:lpstr>
      <vt:lpstr>Inp</vt:lpstr>
      <vt:lpstr>Scenarios</vt:lpstr>
      <vt:lpstr>Model</vt:lpstr>
      <vt:lpstr>Template</vt:lpstr>
      <vt:lpstr>BS_Check</vt:lpstr>
      <vt:lpstr>currency</vt:lpstr>
      <vt:lpstr>L_Scenarios</vt:lpstr>
      <vt:lpstr>LiveScenario</vt:lpstr>
      <vt:lpstr>million</vt:lpstr>
      <vt:lpstr>Inp!Print_Titles</vt:lpstr>
      <vt:lpstr>Model!Print_Titles</vt:lpstr>
      <vt:lpstr>Scenarios!Print_Titles</vt:lpstr>
      <vt:lpstr>Summary!Print_Titles</vt:lpstr>
      <vt:lpstr>Template!Print_Titles</vt:lpstr>
      <vt:lpstr>S_Circularity</vt:lpstr>
      <vt:lpstr>S_Scenarios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 Oyedele</dc:creator>
  <cp:lastModifiedBy>abdul samad</cp:lastModifiedBy>
  <cp:lastPrinted>2025-02-07T13:43:40Z</cp:lastPrinted>
  <dcterms:created xsi:type="dcterms:W3CDTF">2025-01-23T14:57:45Z</dcterms:created>
  <dcterms:modified xsi:type="dcterms:W3CDTF">2026-02-25T11:35:18Z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0x010100005972A69AB9064D95049B970FA150B6</vt:lpwstr>
  </property>
  <property fmtid="{D5CDD505-2E9C-101B-9397-08002B2CF9AE}" pid="3" name="MediaServiceImageTags">
    <vt:lpwstr/>
  </property>
</Properties>
</file>